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mois\IdeaProjects\product-importer\input\hyperlinksfile\"/>
    </mc:Choice>
  </mc:AlternateContent>
  <bookViews>
    <workbookView xWindow="2244" yWindow="2244" windowWidth="14400" windowHeight="8172"/>
  </bookViews>
  <sheets>
    <sheet name="Лист3 (2)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1" i="1" l="1"/>
  <c r="A171" i="1"/>
  <c r="A170" i="1"/>
  <c r="A169" i="1"/>
  <c r="A168" i="1"/>
  <c r="A167" i="1"/>
  <c r="A166" i="1"/>
  <c r="E165" i="1"/>
  <c r="A165" i="1"/>
  <c r="A164" i="1"/>
  <c r="A163" i="1"/>
  <c r="E162" i="1"/>
  <c r="G162" i="1"/>
  <c r="A162" i="1"/>
  <c r="A161" i="1"/>
  <c r="E160" i="1"/>
  <c r="G160" i="1"/>
  <c r="A160" i="1"/>
  <c r="A159" i="1"/>
  <c r="E158" i="1"/>
  <c r="G158" i="1"/>
  <c r="A158" i="1"/>
  <c r="E157" i="1"/>
  <c r="G157" i="1"/>
  <c r="A157" i="1"/>
  <c r="E156" i="1"/>
  <c r="G156" i="1"/>
  <c r="A156" i="1"/>
  <c r="E155" i="1"/>
  <c r="G155" i="1"/>
  <c r="A155" i="1"/>
  <c r="E154" i="1"/>
  <c r="A154" i="1"/>
  <c r="A153" i="1"/>
  <c r="A152" i="1"/>
  <c r="A151" i="1"/>
  <c r="A150" i="1"/>
  <c r="A149" i="1"/>
  <c r="A148" i="1"/>
  <c r="E147" i="1"/>
  <c r="G147" i="1"/>
  <c r="A147" i="1"/>
  <c r="A146" i="1"/>
  <c r="A145" i="1"/>
  <c r="A144" i="1"/>
  <c r="F143" i="1"/>
  <c r="A143" i="1"/>
  <c r="E142" i="1"/>
  <c r="G142" i="1"/>
  <c r="A142" i="1"/>
  <c r="A141" i="1"/>
  <c r="G140" i="1"/>
  <c r="A140" i="1"/>
  <c r="A139" i="1"/>
  <c r="A138" i="1"/>
  <c r="A137" i="1"/>
  <c r="A136" i="1"/>
  <c r="A135" i="1"/>
  <c r="F134" i="1"/>
  <c r="A134" i="1"/>
  <c r="A133" i="1"/>
  <c r="A132" i="1"/>
  <c r="A131" i="1"/>
  <c r="A130" i="1"/>
  <c r="A129" i="1"/>
  <c r="A128" i="1"/>
  <c r="A127" i="1"/>
  <c r="F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G107" i="1"/>
  <c r="A107" i="1"/>
  <c r="A106" i="1"/>
  <c r="A105" i="1"/>
  <c r="A104" i="1"/>
  <c r="F103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E83" i="1"/>
  <c r="A83" i="1"/>
  <c r="A82" i="1"/>
  <c r="A81" i="1"/>
  <c r="A80" i="1"/>
  <c r="A79" i="1"/>
  <c r="A78" i="1"/>
  <c r="A77" i="1"/>
  <c r="A76" i="1"/>
  <c r="A75" i="1"/>
  <c r="A74" i="1"/>
  <c r="A73" i="1"/>
  <c r="A72" i="1"/>
  <c r="F71" i="1"/>
  <c r="A71" i="1"/>
  <c r="A70" i="1"/>
  <c r="A69" i="1"/>
  <c r="A68" i="1"/>
  <c r="F67" i="1"/>
  <c r="A67" i="1"/>
  <c r="A66" i="1"/>
  <c r="A65" i="1"/>
  <c r="A64" i="1"/>
  <c r="A63" i="1"/>
  <c r="F62" i="1"/>
  <c r="A62" i="1"/>
  <c r="A61" i="1"/>
  <c r="F60" i="1"/>
  <c r="E60" i="1"/>
  <c r="G60" i="1"/>
  <c r="A60" i="1"/>
  <c r="E59" i="1"/>
  <c r="A59" i="1"/>
  <c r="A58" i="1"/>
  <c r="E57" i="1"/>
  <c r="A57" i="1"/>
  <c r="A56" i="1"/>
  <c r="A55" i="1"/>
  <c r="A54" i="1"/>
  <c r="G53" i="1"/>
  <c r="E53" i="1"/>
  <c r="A53" i="1"/>
  <c r="A52" i="1"/>
  <c r="A51" i="1"/>
  <c r="G50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F34" i="1"/>
  <c r="A34" i="1"/>
  <c r="G33" i="1"/>
  <c r="A33" i="1"/>
  <c r="A32" i="1"/>
  <c r="A31" i="1"/>
  <c r="G30" i="1"/>
  <c r="A30" i="1"/>
  <c r="A29" i="1"/>
  <c r="E28" i="1"/>
  <c r="G28" i="1"/>
  <c r="A28" i="1"/>
  <c r="A27" i="1"/>
  <c r="A26" i="1"/>
  <c r="E25" i="1"/>
  <c r="G25" i="1"/>
  <c r="A25" i="1"/>
  <c r="E24" i="1"/>
  <c r="G24" i="1"/>
  <c r="A24" i="1"/>
  <c r="A23" i="1"/>
  <c r="A22" i="1"/>
  <c r="A21" i="1"/>
  <c r="A20" i="1"/>
  <c r="F19" i="1"/>
  <c r="A19" i="1"/>
  <c r="A18" i="1"/>
  <c r="A17" i="1"/>
  <c r="E16" i="1"/>
  <c r="G16" i="1"/>
  <c r="A16" i="1"/>
  <c r="E15" i="1"/>
  <c r="G15" i="1"/>
  <c r="A15" i="1"/>
  <c r="A14" i="1"/>
  <c r="A13" i="1"/>
  <c r="A12" i="1"/>
  <c r="A11" i="1"/>
  <c r="E10" i="1"/>
  <c r="G10" i="1"/>
  <c r="A10" i="1"/>
  <c r="E9" i="1"/>
  <c r="G9" i="1"/>
  <c r="A9" i="1"/>
  <c r="E8" i="1"/>
  <c r="A8" i="1"/>
  <c r="G7" i="1"/>
  <c r="E7" i="1"/>
  <c r="A7" i="1"/>
  <c r="A6" i="1"/>
  <c r="A5" i="1"/>
  <c r="A4" i="1"/>
  <c r="G3" i="1"/>
  <c r="A3" i="1"/>
  <c r="G8" i="1" l="1"/>
  <c r="F8" i="1"/>
  <c r="F83" i="1"/>
  <c r="G83" i="1"/>
  <c r="H83" i="1" s="1"/>
  <c r="F9" i="1"/>
  <c r="H9" i="1" s="1"/>
  <c r="F59" i="1"/>
  <c r="G59" i="1"/>
  <c r="F77" i="1"/>
  <c r="F20" i="1"/>
  <c r="F7" i="1"/>
  <c r="H7" i="1" s="1"/>
  <c r="F29" i="1"/>
  <c r="F33" i="1"/>
  <c r="H33" i="1" s="1"/>
  <c r="F54" i="1"/>
  <c r="F69" i="1"/>
  <c r="F11" i="1"/>
  <c r="F42" i="1"/>
  <c r="F64" i="1"/>
  <c r="F96" i="1"/>
  <c r="F46" i="1"/>
  <c r="G64" i="1"/>
  <c r="F111" i="1"/>
  <c r="F28" i="1"/>
  <c r="H28" i="1" s="1"/>
  <c r="F18" i="1"/>
  <c r="F99" i="1"/>
  <c r="F73" i="1"/>
  <c r="F89" i="1"/>
  <c r="F12" i="1"/>
  <c r="F80" i="1"/>
  <c r="F123" i="1"/>
  <c r="G11" i="1"/>
  <c r="F49" i="1"/>
  <c r="F65" i="1"/>
  <c r="F78" i="1"/>
  <c r="E3" i="1"/>
  <c r="F30" i="1"/>
  <c r="H30" i="1" s="1"/>
  <c r="F68" i="1"/>
  <c r="F27" i="1"/>
  <c r="F70" i="1"/>
  <c r="F100" i="1"/>
  <c r="F121" i="1"/>
  <c r="G136" i="1"/>
  <c r="F92" i="1"/>
  <c r="G154" i="1"/>
  <c r="F10" i="1"/>
  <c r="F45" i="1"/>
  <c r="F95" i="1"/>
  <c r="E97" i="1"/>
  <c r="F63" i="1"/>
  <c r="F81" i="1"/>
  <c r="F108" i="1"/>
  <c r="G72" i="1"/>
  <c r="G126" i="1"/>
  <c r="H126" i="1" s="1"/>
  <c r="G134" i="1"/>
  <c r="H134" i="1" s="1"/>
  <c r="F37" i="1"/>
  <c r="F110" i="1"/>
  <c r="F21" i="1"/>
  <c r="E50" i="1"/>
  <c r="G61" i="1"/>
  <c r="F61" i="1"/>
  <c r="F157" i="1"/>
  <c r="H157" i="1" s="1"/>
  <c r="E30" i="1"/>
  <c r="E140" i="1"/>
  <c r="G57" i="1"/>
  <c r="F85" i="1"/>
  <c r="F75" i="1"/>
  <c r="G91" i="1"/>
  <c r="F112" i="1"/>
  <c r="F41" i="1"/>
  <c r="F50" i="1"/>
  <c r="H50" i="1" s="1"/>
  <c r="F72" i="1"/>
  <c r="F97" i="1"/>
  <c r="F115" i="1"/>
  <c r="F136" i="1"/>
  <c r="F139" i="1"/>
  <c r="F152" i="1"/>
  <c r="F47" i="1"/>
  <c r="F84" i="1"/>
  <c r="E33" i="1"/>
  <c r="F56" i="1"/>
  <c r="F158" i="1"/>
  <c r="H158" i="1" s="1"/>
  <c r="F53" i="1"/>
  <c r="H53" i="1" s="1"/>
  <c r="H60" i="1"/>
  <c r="G97" i="1"/>
  <c r="F40" i="1"/>
  <c r="F118" i="1"/>
  <c r="G40" i="1"/>
  <c r="E107" i="1"/>
  <c r="H10" i="1"/>
  <c r="F55" i="1"/>
  <c r="F91" i="1"/>
  <c r="F130" i="1"/>
  <c r="F140" i="1"/>
  <c r="H140" i="1" s="1"/>
  <c r="F154" i="1"/>
  <c r="F168" i="1"/>
  <c r="F147" i="1"/>
  <c r="H147" i="1" s="1"/>
  <c r="F159" i="1"/>
  <c r="F131" i="1"/>
  <c r="G165" i="1"/>
  <c r="F165" i="1"/>
  <c r="F162" i="1"/>
  <c r="H162" i="1" s="1"/>
  <c r="H40" i="1" l="1"/>
  <c r="H61" i="1"/>
  <c r="H64" i="1"/>
  <c r="H8" i="1"/>
  <c r="H97" i="1"/>
  <c r="H59" i="1"/>
  <c r="H11" i="1"/>
  <c r="F133" i="1"/>
  <c r="F23" i="1"/>
  <c r="F98" i="1"/>
  <c r="F164" i="1"/>
  <c r="F90" i="1"/>
  <c r="F109" i="1"/>
  <c r="F13" i="1"/>
  <c r="F156" i="1"/>
  <c r="H156" i="1" s="1"/>
  <c r="F128" i="1"/>
  <c r="F16" i="1"/>
  <c r="H16" i="1" s="1"/>
  <c r="F76" i="1"/>
  <c r="F169" i="1"/>
  <c r="F51" i="1"/>
  <c r="F170" i="1"/>
  <c r="F94" i="1"/>
  <c r="F35" i="1"/>
  <c r="F22" i="1"/>
  <c r="F107" i="1"/>
  <c r="H107" i="1" s="1"/>
  <c r="F38" i="1"/>
  <c r="F155" i="1"/>
  <c r="H155" i="1" s="1"/>
  <c r="F93" i="1"/>
  <c r="F87" i="1"/>
  <c r="F17" i="1"/>
  <c r="F127" i="1"/>
  <c r="F86" i="1"/>
  <c r="F82" i="1"/>
  <c r="F135" i="1"/>
  <c r="F26" i="1"/>
  <c r="F58" i="1"/>
  <c r="F101" i="1"/>
  <c r="F66" i="1"/>
  <c r="F167" i="1"/>
  <c r="F151" i="1"/>
  <c r="F43" i="1"/>
  <c r="G37" i="1"/>
  <c r="H37" i="1" s="1"/>
  <c r="G139" i="1"/>
  <c r="H139" i="1" s="1"/>
  <c r="F52" i="1"/>
  <c r="F124" i="1"/>
  <c r="G123" i="1"/>
  <c r="H123" i="1" s="1"/>
  <c r="F113" i="1"/>
  <c r="F148" i="1"/>
  <c r="F104" i="1"/>
  <c r="F24" i="1"/>
  <c r="H24" i="1" s="1"/>
  <c r="G70" i="1"/>
  <c r="H70" i="1" s="1"/>
  <c r="G68" i="1"/>
  <c r="H68" i="1" s="1"/>
  <c r="G92" i="1"/>
  <c r="H92" i="1" s="1"/>
  <c r="F161" i="1"/>
  <c r="F25" i="1"/>
  <c r="H25" i="1" s="1"/>
  <c r="G115" i="1"/>
  <c r="H115" i="1" s="1"/>
  <c r="F31" i="1"/>
  <c r="H72" i="1"/>
  <c r="F4" i="1"/>
  <c r="E136" i="1"/>
  <c r="F32" i="1"/>
  <c r="G49" i="1"/>
  <c r="H49" i="1" s="1"/>
  <c r="G47" i="1"/>
  <c r="H47" i="1" s="1"/>
  <c r="F102" i="1"/>
  <c r="G56" i="1"/>
  <c r="H56" i="1" s="1"/>
  <c r="G111" i="1"/>
  <c r="H111" i="1" s="1"/>
  <c r="F114" i="1"/>
  <c r="E40" i="1"/>
  <c r="G63" i="1"/>
  <c r="H63" i="1" s="1"/>
  <c r="F122" i="1"/>
  <c r="F141" i="1"/>
  <c r="G75" i="1"/>
  <c r="H75" i="1" s="1"/>
  <c r="H136" i="1"/>
  <c r="G54" i="1"/>
  <c r="H54" i="1" s="1"/>
  <c r="F105" i="1"/>
  <c r="G62" i="1"/>
  <c r="H62" i="1" s="1"/>
  <c r="F132" i="1"/>
  <c r="F153" i="1"/>
  <c r="F14" i="1"/>
  <c r="G71" i="1"/>
  <c r="H71" i="1" s="1"/>
  <c r="G21" i="1"/>
  <c r="H21" i="1" s="1"/>
  <c r="F138" i="1"/>
  <c r="F44" i="1"/>
  <c r="H91" i="1"/>
  <c r="G41" i="1"/>
  <c r="H41" i="1" s="1"/>
  <c r="G108" i="1"/>
  <c r="H108" i="1" s="1"/>
  <c r="G110" i="1"/>
  <c r="H110" i="1" s="1"/>
  <c r="G19" i="1"/>
  <c r="H19" i="1" s="1"/>
  <c r="G121" i="1"/>
  <c r="H121" i="1" s="1"/>
  <c r="G34" i="1"/>
  <c r="H34" i="1" s="1"/>
  <c r="F39" i="1"/>
  <c r="G78" i="1"/>
  <c r="H78" i="1" s="1"/>
  <c r="G99" i="1"/>
  <c r="H99" i="1" s="1"/>
  <c r="G18" i="1"/>
  <c r="H18" i="1" s="1"/>
  <c r="E72" i="1"/>
  <c r="G143" i="1"/>
  <c r="H143" i="1" s="1"/>
  <c r="G42" i="1"/>
  <c r="H42" i="1" s="1"/>
  <c r="F106" i="1"/>
  <c r="G67" i="1"/>
  <c r="H67" i="1" s="1"/>
  <c r="F144" i="1"/>
  <c r="G55" i="1"/>
  <c r="H55" i="1" s="1"/>
  <c r="G12" i="1"/>
  <c r="H12" i="1" s="1"/>
  <c r="G69" i="1"/>
  <c r="H69" i="1" s="1"/>
  <c r="F15" i="1"/>
  <c r="H15" i="1" s="1"/>
  <c r="F160" i="1"/>
  <c r="H160" i="1" s="1"/>
  <c r="F163" i="1"/>
  <c r="G159" i="1"/>
  <c r="H159" i="1" s="1"/>
  <c r="G168" i="1"/>
  <c r="H168" i="1" s="1"/>
  <c r="G130" i="1"/>
  <c r="H130" i="1" s="1"/>
  <c r="F119" i="1"/>
  <c r="F6" i="1"/>
  <c r="F5" i="1"/>
  <c r="G81" i="1"/>
  <c r="H81" i="1" s="1"/>
  <c r="H154" i="1"/>
  <c r="G45" i="1"/>
  <c r="H45" i="1" s="1"/>
  <c r="G20" i="1"/>
  <c r="H20" i="1" s="1"/>
  <c r="F117" i="1"/>
  <c r="G85" i="1"/>
  <c r="H85" i="1" s="1"/>
  <c r="G89" i="1"/>
  <c r="H89" i="1" s="1"/>
  <c r="F125" i="1"/>
  <c r="F150" i="1"/>
  <c r="G77" i="1"/>
  <c r="H77" i="1" s="1"/>
  <c r="F149" i="1"/>
  <c r="F142" i="1"/>
  <c r="H142" i="1" s="1"/>
  <c r="G112" i="1"/>
  <c r="H112" i="1" s="1"/>
  <c r="E134" i="1"/>
  <c r="F146" i="1"/>
  <c r="G100" i="1"/>
  <c r="H100" i="1" s="1"/>
  <c r="E64" i="1"/>
  <c r="E91" i="1"/>
  <c r="E126" i="1"/>
  <c r="G95" i="1"/>
  <c r="H95" i="1" s="1"/>
  <c r="G46" i="1"/>
  <c r="H46" i="1" s="1"/>
  <c r="F3" i="1"/>
  <c r="H3" i="1" s="1"/>
  <c r="F74" i="1"/>
  <c r="H165" i="1"/>
  <c r="F116" i="1"/>
  <c r="G84" i="1"/>
  <c r="H84" i="1" s="1"/>
  <c r="G103" i="1"/>
  <c r="H103" i="1" s="1"/>
  <c r="G27" i="1"/>
  <c r="H27" i="1" s="1"/>
  <c r="G29" i="1"/>
  <c r="H29" i="1" s="1"/>
  <c r="F145" i="1"/>
  <c r="F88" i="1"/>
  <c r="F129" i="1"/>
  <c r="F48" i="1"/>
  <c r="G65" i="1"/>
  <c r="H65" i="1" s="1"/>
  <c r="G73" i="1"/>
  <c r="H73" i="1" s="1"/>
  <c r="F57" i="1"/>
  <c r="H57" i="1" s="1"/>
  <c r="G118" i="1"/>
  <c r="H118" i="1" s="1"/>
  <c r="F36" i="1"/>
  <c r="F137" i="1"/>
  <c r="F120" i="1"/>
  <c r="G131" i="1"/>
  <c r="H131" i="1" s="1"/>
  <c r="F166" i="1"/>
  <c r="G171" i="1"/>
  <c r="H171" i="1" s="1"/>
  <c r="G152" i="1"/>
  <c r="H152" i="1" s="1"/>
  <c r="F79" i="1"/>
  <c r="E61" i="1"/>
  <c r="E11" i="1"/>
  <c r="G80" i="1"/>
  <c r="H80" i="1" s="1"/>
  <c r="G96" i="1"/>
  <c r="H96" i="1" s="1"/>
  <c r="E92" i="1" l="1"/>
  <c r="G135" i="1"/>
  <c r="H135" i="1" s="1"/>
  <c r="G106" i="1"/>
  <c r="H106" i="1" s="1"/>
  <c r="G149" i="1"/>
  <c r="H149" i="1" s="1"/>
  <c r="E56" i="1"/>
  <c r="G58" i="1"/>
  <c r="H58" i="1" s="1"/>
  <c r="G17" i="1"/>
  <c r="H17" i="1" s="1"/>
  <c r="G5" i="1"/>
  <c r="H5" i="1" s="1"/>
  <c r="E152" i="1"/>
  <c r="E77" i="1"/>
  <c r="G94" i="1"/>
  <c r="H94" i="1" s="1"/>
  <c r="G90" i="1"/>
  <c r="H90" i="1" s="1"/>
  <c r="E96" i="1"/>
  <c r="E143" i="1"/>
  <c r="E99" i="1"/>
  <c r="E19" i="1"/>
  <c r="G32" i="1"/>
  <c r="H32" i="1" s="1"/>
  <c r="G51" i="1"/>
  <c r="H51" i="1" s="1"/>
  <c r="E34" i="1"/>
  <c r="E62" i="1"/>
  <c r="G88" i="1"/>
  <c r="H88" i="1" s="1"/>
  <c r="G117" i="1"/>
  <c r="H117" i="1" s="1"/>
  <c r="G144" i="1"/>
  <c r="H144" i="1" s="1"/>
  <c r="G14" i="1"/>
  <c r="H14" i="1" s="1"/>
  <c r="G86" i="1"/>
  <c r="H86" i="1" s="1"/>
  <c r="G13" i="1"/>
  <c r="H13" i="1" s="1"/>
  <c r="G98" i="1"/>
  <c r="H98" i="1" s="1"/>
  <c r="E80" i="1"/>
  <c r="G48" i="1"/>
  <c r="H48" i="1" s="1"/>
  <c r="E75" i="1"/>
  <c r="E100" i="1"/>
  <c r="G101" i="1"/>
  <c r="H101" i="1" s="1"/>
  <c r="E68" i="1"/>
  <c r="E29" i="1"/>
  <c r="G163" i="1"/>
  <c r="H163" i="1" s="1"/>
  <c r="G124" i="1"/>
  <c r="H124" i="1" s="1"/>
  <c r="G79" i="1"/>
  <c r="H79" i="1" s="1"/>
  <c r="G146" i="1"/>
  <c r="H146" i="1" s="1"/>
  <c r="G74" i="1"/>
  <c r="H74" i="1" s="1"/>
  <c r="E70" i="1"/>
  <c r="E168" i="1"/>
  <c r="G153" i="1"/>
  <c r="H153" i="1" s="1"/>
  <c r="G114" i="1"/>
  <c r="H114" i="1" s="1"/>
  <c r="G31" i="1"/>
  <c r="H31" i="1" s="1"/>
  <c r="G87" i="1"/>
  <c r="H87" i="1" s="1"/>
  <c r="G23" i="1"/>
  <c r="H23" i="1" s="1"/>
  <c r="E46" i="1"/>
  <c r="E108" i="1"/>
  <c r="E115" i="1"/>
  <c r="E123" i="1"/>
  <c r="G164" i="1"/>
  <c r="H164" i="1" s="1"/>
  <c r="G36" i="1"/>
  <c r="H36" i="1" s="1"/>
  <c r="E41" i="1"/>
  <c r="E89" i="1"/>
  <c r="E42" i="1"/>
  <c r="G119" i="1"/>
  <c r="H119" i="1" s="1"/>
  <c r="E37" i="1"/>
  <c r="E73" i="1"/>
  <c r="E130" i="1"/>
  <c r="G102" i="1"/>
  <c r="H102" i="1" s="1"/>
  <c r="E65" i="1"/>
  <c r="E171" i="1"/>
  <c r="E103" i="1"/>
  <c r="E112" i="1"/>
  <c r="E78" i="1"/>
  <c r="G105" i="1"/>
  <c r="H105" i="1" s="1"/>
  <c r="G43" i="1"/>
  <c r="H43" i="1" s="1"/>
  <c r="G26" i="1"/>
  <c r="H26" i="1" s="1"/>
  <c r="G169" i="1"/>
  <c r="H169" i="1" s="1"/>
  <c r="E21" i="1"/>
  <c r="G4" i="1"/>
  <c r="H4" i="1" s="1"/>
  <c r="E12" i="1"/>
  <c r="E49" i="1"/>
  <c r="E71" i="1"/>
  <c r="G141" i="1"/>
  <c r="H141" i="1" s="1"/>
  <c r="G148" i="1"/>
  <c r="H148" i="1" s="1"/>
  <c r="G38" i="1"/>
  <c r="H38" i="1" s="1"/>
  <c r="G120" i="1"/>
  <c r="H120" i="1" s="1"/>
  <c r="E85" i="1"/>
  <c r="E121" i="1"/>
  <c r="G150" i="1"/>
  <c r="H150" i="1" s="1"/>
  <c r="G122" i="1"/>
  <c r="H122" i="1" s="1"/>
  <c r="E111" i="1"/>
  <c r="G104" i="1"/>
  <c r="H104" i="1" s="1"/>
  <c r="G113" i="1"/>
  <c r="H113" i="1" s="1"/>
  <c r="G167" i="1"/>
  <c r="H167" i="1" s="1"/>
  <c r="G170" i="1"/>
  <c r="H170" i="1" s="1"/>
  <c r="G128" i="1"/>
  <c r="H128" i="1" s="1"/>
  <c r="E139" i="1"/>
  <c r="E131" i="1"/>
  <c r="E95" i="1"/>
  <c r="G82" i="1"/>
  <c r="H82" i="1" s="1"/>
  <c r="G35" i="1"/>
  <c r="H35" i="1" s="1"/>
  <c r="G44" i="1"/>
  <c r="H44" i="1" s="1"/>
  <c r="G151" i="1"/>
  <c r="H151" i="1" s="1"/>
  <c r="G161" i="1"/>
  <c r="H161" i="1" s="1"/>
  <c r="E27" i="1"/>
  <c r="E45" i="1"/>
  <c r="G137" i="1"/>
  <c r="H137" i="1" s="1"/>
  <c r="E118" i="1"/>
  <c r="G6" i="1"/>
  <c r="H6" i="1" s="1"/>
  <c r="E159" i="1"/>
  <c r="E69" i="1"/>
  <c r="E67" i="1"/>
  <c r="G39" i="1"/>
  <c r="H39" i="1" s="1"/>
  <c r="E110" i="1"/>
  <c r="G66" i="1"/>
  <c r="H66" i="1" s="1"/>
  <c r="G109" i="1"/>
  <c r="H109" i="1" s="1"/>
  <c r="G133" i="1"/>
  <c r="H133" i="1" s="1"/>
  <c r="G116" i="1"/>
  <c r="H116" i="1" s="1"/>
  <c r="G125" i="1"/>
  <c r="H125" i="1" s="1"/>
  <c r="E63" i="1"/>
  <c r="G22" i="1"/>
  <c r="H22" i="1" s="1"/>
  <c r="E55" i="1"/>
  <c r="G166" i="1"/>
  <c r="H166" i="1" s="1"/>
  <c r="E20" i="1"/>
  <c r="G138" i="1"/>
  <c r="H138" i="1" s="1"/>
  <c r="E54" i="1"/>
  <c r="G93" i="1"/>
  <c r="H93" i="1" s="1"/>
  <c r="G132" i="1"/>
  <c r="H132" i="1" s="1"/>
  <c r="G76" i="1"/>
  <c r="H76" i="1" s="1"/>
  <c r="G129" i="1"/>
  <c r="H129" i="1" s="1"/>
  <c r="G145" i="1"/>
  <c r="H145" i="1" s="1"/>
  <c r="E84" i="1"/>
  <c r="E81" i="1"/>
  <c r="E18" i="1"/>
  <c r="E47" i="1"/>
  <c r="G52" i="1"/>
  <c r="H52" i="1" s="1"/>
  <c r="G127" i="1"/>
  <c r="H127" i="1" s="1"/>
  <c r="E66" i="1" l="1"/>
  <c r="E93" i="1"/>
  <c r="E128" i="1"/>
  <c r="E119" i="1"/>
  <c r="E79" i="1"/>
  <c r="E122" i="1"/>
  <c r="E148" i="1"/>
  <c r="E169" i="1"/>
  <c r="E114" i="1"/>
  <c r="E86" i="1"/>
  <c r="E90" i="1"/>
  <c r="E58" i="1"/>
  <c r="E124" i="1"/>
  <c r="E125" i="1"/>
  <c r="E35" i="1"/>
  <c r="E150" i="1"/>
  <c r="E26" i="1"/>
  <c r="E153" i="1"/>
  <c r="E14" i="1"/>
  <c r="E51" i="1"/>
  <c r="E137" i="1"/>
  <c r="E94" i="1"/>
  <c r="E48" i="1"/>
  <c r="E149" i="1"/>
  <c r="E170" i="1"/>
  <c r="E141" i="1"/>
  <c r="E163" i="1"/>
  <c r="E144" i="1"/>
  <c r="E145" i="1"/>
  <c r="E39" i="1"/>
  <c r="E167" i="1"/>
  <c r="E102" i="1"/>
  <c r="E32" i="1"/>
  <c r="E127" i="1"/>
  <c r="E82" i="1"/>
  <c r="E43" i="1"/>
  <c r="E129" i="1"/>
  <c r="E116" i="1"/>
  <c r="E23" i="1"/>
  <c r="E98" i="1"/>
  <c r="E117" i="1"/>
  <c r="E106" i="1"/>
  <c r="E52" i="1"/>
  <c r="E161" i="1"/>
  <c r="E113" i="1"/>
  <c r="E74" i="1"/>
  <c r="E44" i="1"/>
  <c r="E76" i="1"/>
  <c r="E120" i="1"/>
  <c r="E36" i="1"/>
  <c r="E87" i="1"/>
  <c r="E5" i="1"/>
  <c r="E135" i="1"/>
  <c r="E138" i="1"/>
  <c r="E133" i="1"/>
  <c r="E104" i="1"/>
  <c r="E164" i="1"/>
  <c r="E88" i="1"/>
  <c r="E38" i="1"/>
  <c r="E101" i="1"/>
  <c r="E13" i="1"/>
  <c r="E17" i="1"/>
  <c r="E22" i="1"/>
  <c r="E166" i="1"/>
  <c r="E105" i="1"/>
  <c r="E132" i="1"/>
  <c r="E4" i="1"/>
  <c r="E109" i="1"/>
  <c r="E6" i="1"/>
  <c r="E151" i="1"/>
  <c r="E31" i="1"/>
  <c r="E146" i="1"/>
</calcChain>
</file>

<file path=xl/sharedStrings.xml><?xml version="1.0" encoding="utf-8"?>
<sst xmlns="http://schemas.openxmlformats.org/spreadsheetml/2006/main" count="342" uniqueCount="335">
  <si>
    <t>.2025             РОЗА</t>
  </si>
  <si>
    <t>кол-во</t>
  </si>
  <si>
    <t>BYN</t>
  </si>
  <si>
    <t>сп BYN</t>
  </si>
  <si>
    <t>Chr T Altaj</t>
  </si>
  <si>
    <t>Chr T Commander Pink</t>
  </si>
  <si>
    <t>Chr T Newton</t>
  </si>
  <si>
    <t>Astil Ja Europa</t>
  </si>
  <si>
    <t>Matth Aida White</t>
  </si>
  <si>
    <t>Oxy Co Tan Pure Blu</t>
  </si>
  <si>
    <t>Ornit Saundersiae</t>
  </si>
  <si>
    <t>Hydr M Ch Whi Verena</t>
  </si>
  <si>
    <t>Zant Sweet Art</t>
  </si>
  <si>
    <t>Matth Mathilda Pink</t>
  </si>
  <si>
    <t>Chr G Tutu</t>
  </si>
  <si>
    <t>Eus G Alissa Pink</t>
  </si>
  <si>
    <t>R Tr Azore</t>
  </si>
  <si>
    <t>R Tr Bachelor</t>
  </si>
  <si>
    <t>R Tr Yvette</t>
  </si>
  <si>
    <t>R Tr Good Mood</t>
  </si>
  <si>
    <t>R Tr Darlington</t>
  </si>
  <si>
    <t>R Tr Gelato</t>
  </si>
  <si>
    <t>R Tr Giselle!</t>
  </si>
  <si>
    <t>R Tr Quincy</t>
  </si>
  <si>
    <t>R Tr Leila</t>
  </si>
  <si>
    <t>R Tr Nandi</t>
  </si>
  <si>
    <t>R Tr Royal Blush</t>
  </si>
  <si>
    <t>R Tr Rubicon</t>
  </si>
  <si>
    <t>R Tr Salinero</t>
  </si>
  <si>
    <t>R Tr Summer Dance</t>
  </si>
  <si>
    <t>R Tr Summerrose</t>
  </si>
  <si>
    <t>R Tr Sunset Magic</t>
  </si>
  <si>
    <t>R Tr Sweet Catalina+</t>
  </si>
  <si>
    <t>R Tr Silva Pink+</t>
  </si>
  <si>
    <t>R Tr Sofie</t>
  </si>
  <si>
    <t>R Tr First Date</t>
  </si>
  <si>
    <t>R Tr Happy Wedding</t>
  </si>
  <si>
    <t>Blushing Brides Rose 6-9</t>
  </si>
  <si>
    <t>Chr G Antonov</t>
  </si>
  <si>
    <t>Chr G Pjotr</t>
  </si>
  <si>
    <t>Chr G Honeymoon</t>
  </si>
  <si>
    <t>Chr G Etrusko White</t>
  </si>
  <si>
    <t>Chr T Altaj Yellow</t>
  </si>
  <si>
    <t>Chr T Baltica</t>
  </si>
  <si>
    <t>Chr T Babe</t>
  </si>
  <si>
    <t>Chr T Deligreen - 90gr.</t>
  </si>
  <si>
    <t>Chr T Kalimba</t>
  </si>
  <si>
    <t>Chr T Katinka Salmon</t>
  </si>
  <si>
    <t>Chr T Kennedy</t>
  </si>
  <si>
    <t>Chr T Commander</t>
  </si>
  <si>
    <t>Chr T Letsgo Pink</t>
  </si>
  <si>
    <t>Chr T Lionking</t>
  </si>
  <si>
    <t>Chr T Letitbe</t>
  </si>
  <si>
    <t>Chr T Pastela Rose</t>
  </si>
  <si>
    <t>Chr T Pastela Pink</t>
  </si>
  <si>
    <t>Chr T Radost</t>
  </si>
  <si>
    <t>Chr T Radost Cream</t>
  </si>
  <si>
    <t>Chr S Aaa Peptalk</t>
  </si>
  <si>
    <t>Chr S Ellison Sweet</t>
  </si>
  <si>
    <t>Chr T Stallion</t>
  </si>
  <si>
    <t>Chr T Fabienne</t>
  </si>
  <si>
    <t>Chr T Fabienne Sweet</t>
  </si>
  <si>
    <t>Chr T Fontina</t>
  </si>
  <si>
    <t>Chr T Chic</t>
  </si>
  <si>
    <t>Chr T Chic Cream</t>
  </si>
  <si>
    <t>Di Barb Kiwi Mellow</t>
  </si>
  <si>
    <t>Cymb T Cascade</t>
  </si>
  <si>
    <t>Cymb T Piedmont</t>
  </si>
  <si>
    <t>Cymb T Bryce</t>
  </si>
  <si>
    <t>Cymb T Delmonte</t>
  </si>
  <si>
    <t>Li Ot Zambesi Magnum Aa Doos 5+</t>
  </si>
  <si>
    <t>Li Or Du Snowboard 4+</t>
  </si>
  <si>
    <t>Li Or Dd Fluoriet 4+</t>
  </si>
  <si>
    <t>Li Ot Dalian Magnum Aa Doos 5+</t>
  </si>
  <si>
    <t>Allium Grootbloemig</t>
  </si>
  <si>
    <t>Alst Fl Charme Blanc</t>
  </si>
  <si>
    <t>Alst Fl Charmelia</t>
  </si>
  <si>
    <t>Amar Ca Green Pearls</t>
  </si>
  <si>
    <t>Antir Avignon Wh Imp</t>
  </si>
  <si>
    <t>Antir Ho Dou Yellow</t>
  </si>
  <si>
    <t>Antir Avign Silver</t>
  </si>
  <si>
    <t>Anth A Acropolis</t>
  </si>
  <si>
    <t>Anth Black Love</t>
  </si>
  <si>
    <t>Anth A Extase</t>
  </si>
  <si>
    <t>Anth A Cognac</t>
  </si>
  <si>
    <t>Anth A Lybra</t>
  </si>
  <si>
    <t>Anth A Tequila</t>
  </si>
  <si>
    <t>Astil Ja Washington</t>
  </si>
  <si>
    <t>Brunia Blue Young</t>
  </si>
  <si>
    <t>Viburnum Roseum St</t>
  </si>
  <si>
    <t>Heli Sunrich Orange</t>
  </si>
  <si>
    <t>Ge Gs Cream Springs</t>
  </si>
  <si>
    <t>Ge Mi Alix-noor</t>
  </si>
  <si>
    <t>Ge Mi Olaf</t>
  </si>
  <si>
    <t>Ge Mi Cabaret</t>
  </si>
  <si>
    <t>Ge Mi Espresso</t>
  </si>
  <si>
    <t>Ge Gr Pasta Rosata</t>
  </si>
  <si>
    <t>Ge Mb Pom Blackpearl</t>
  </si>
  <si>
    <t>Ge Mb Gerponi Belfi</t>
  </si>
  <si>
    <t>Hyp Coco Uno White</t>
  </si>
  <si>
    <t>Hydr M Ch Verena Bl</t>
  </si>
  <si>
    <t>Hydr M Mag Emeral Cl</t>
  </si>
  <si>
    <t>Hydr M Ch Verena Cl</t>
  </si>
  <si>
    <t>Hydr M Ch Rodeo Rd</t>
  </si>
  <si>
    <t>Hydr M Ch Verena</t>
  </si>
  <si>
    <t>Hydr M My Pinktou Cl</t>
  </si>
  <si>
    <t>Hydr M Ch Sw Verena</t>
  </si>
  <si>
    <t>Hydr M Ch Pimpernel</t>
  </si>
  <si>
    <t>Hydr M Royal Benefit</t>
  </si>
  <si>
    <t>Delph Du Aur L Blue</t>
  </si>
  <si>
    <t>Delph Du Dew Flaming</t>
  </si>
  <si>
    <t>Iris White Magic</t>
  </si>
  <si>
    <t>Iris Blue Magic</t>
  </si>
  <si>
    <t>Zant White Art</t>
  </si>
  <si>
    <t>Zant Bordeaux Art</t>
  </si>
  <si>
    <t>Zant Red Salsa</t>
  </si>
  <si>
    <t>Zant Samur</t>
  </si>
  <si>
    <t>Zant Odessa</t>
  </si>
  <si>
    <t>Zant Escape</t>
  </si>
  <si>
    <t>Camp M Champion Whit</t>
  </si>
  <si>
    <t>Camp M Evergr S Pink</t>
  </si>
  <si>
    <t>Camp M Pearl Pink</t>
  </si>
  <si>
    <t>Coti C M Gr Fount De</t>
  </si>
  <si>
    <t>Coti C Royal Purple</t>
  </si>
  <si>
    <t>Leuco Succession</t>
  </si>
  <si>
    <t>Lim Saf Oshi Pink</t>
  </si>
  <si>
    <t>Matth Milla Salmon</t>
  </si>
  <si>
    <t>Matth Stox Yellow</t>
  </si>
  <si>
    <t>Matth Impala Marine</t>
  </si>
  <si>
    <t>Matth Milla Lavender</t>
  </si>
  <si>
    <t>Matth Stox Silver</t>
  </si>
  <si>
    <t>Matth Iron Marine</t>
  </si>
  <si>
    <t>Menta 200 Gr</t>
  </si>
  <si>
    <t>Nige D Artist Blue</t>
  </si>
  <si>
    <t>Paeonia Avis Varner</t>
  </si>
  <si>
    <t>Paeo L Ivory Victory</t>
  </si>
  <si>
    <t>Paeonia Coral Sunset</t>
  </si>
  <si>
    <t>Paeo L Mme Cl Tain</t>
  </si>
  <si>
    <t>Paeonia Pillow Talk</t>
  </si>
  <si>
    <t>Paeo Red Charm</t>
  </si>
  <si>
    <t>Paeonia Etched Salmon</t>
  </si>
  <si>
    <t>Paeo L Sara Bernhard</t>
  </si>
  <si>
    <t>Protea Cy Ayoba A Ic</t>
  </si>
  <si>
    <t>Protea Brenda</t>
  </si>
  <si>
    <t>Scab At Blackb Scoop</t>
  </si>
  <si>
    <t>Tu En Dynasty</t>
  </si>
  <si>
    <t>Fr Du Volante</t>
  </si>
  <si>
    <t>Hell Magnific Bells</t>
  </si>
  <si>
    <t>Cel C Act Verda</t>
  </si>
  <si>
    <t>Cel C Act Zara</t>
  </si>
  <si>
    <t>Cel C Act Rima</t>
  </si>
  <si>
    <t>Eryn Supernova Qstar</t>
  </si>
  <si>
    <t>Eus G Alissa Peach</t>
  </si>
  <si>
    <t>Eus G Alissa Pur Whi</t>
  </si>
  <si>
    <t>Eus G Alissa Ligh Pi</t>
  </si>
  <si>
    <t>Eus G Alissa Blue</t>
  </si>
  <si>
    <t>Eus G Alissa L Apric</t>
  </si>
  <si>
    <t>Eus G Rosi White</t>
  </si>
  <si>
    <t>Eus G Excal Hot Lips</t>
  </si>
  <si>
    <t>Eus G Rosi Blue Pico</t>
  </si>
  <si>
    <t>Eus G Chac Wed Pink</t>
  </si>
  <si>
    <t>Eus G Rosan Emerald</t>
  </si>
  <si>
    <t>Eus G Lisanne L Pink</t>
  </si>
  <si>
    <t>Eus G Lisanne Lavend</t>
  </si>
  <si>
    <t>Eus G Lis Soft Pink</t>
  </si>
  <si>
    <t>Eus G R L Terracotta</t>
  </si>
  <si>
    <t>Eus E Falda Apricot</t>
  </si>
  <si>
    <t>Eus G Celebrich Whit</t>
  </si>
  <si>
    <t>Eus G Celeb Queen</t>
  </si>
  <si>
    <t>Серрурия 60</t>
  </si>
  <si>
    <t>Хризантема 1 Антонов</t>
  </si>
  <si>
    <t>Хризантема 1 Петр</t>
  </si>
  <si>
    <t>Хризантема 1 Туту</t>
  </si>
  <si>
    <t>Хризантема 1 Ханимун</t>
  </si>
  <si>
    <t>Хризантема 1 Этруско белая</t>
  </si>
  <si>
    <t>Хризантема Алтай</t>
  </si>
  <si>
    <t>Хризантема алтай желтый</t>
  </si>
  <si>
    <t>Хризантема Балтика</t>
  </si>
  <si>
    <t>Хризантема Бэби</t>
  </si>
  <si>
    <t>Хризантема Делигрин</t>
  </si>
  <si>
    <t>Хризантема Калимба</t>
  </si>
  <si>
    <t>Хризантема Катинка Сальмон</t>
  </si>
  <si>
    <t>Хризантема Кеннеди</t>
  </si>
  <si>
    <t>Хризантема Командер</t>
  </si>
  <si>
    <t>Хризантема Командер Пинк</t>
  </si>
  <si>
    <t>Хризантема ЛетсГоу Пинк</t>
  </si>
  <si>
    <t>Хризантема Лион кинг</t>
  </si>
  <si>
    <t>Хризантема Лэтитби</t>
  </si>
  <si>
    <t>Хризантема Ньютон</t>
  </si>
  <si>
    <t>Хризантема Пастела роуз</t>
  </si>
  <si>
    <t>Хризантема Пастель пинк</t>
  </si>
  <si>
    <t>Хризантема Радость</t>
  </si>
  <si>
    <t>Хризантема Радость крем</t>
  </si>
  <si>
    <t>Хризантема сантини зеленая</t>
  </si>
  <si>
    <t>Хризантема сантини Эллисон Свит</t>
  </si>
  <si>
    <t>Хризантема Сталион</t>
  </si>
  <si>
    <t>Хризантема Фабиен</t>
  </si>
  <si>
    <t>Хризантема фабиен свит</t>
  </si>
  <si>
    <t>Хризантема Фонтина</t>
  </si>
  <si>
    <t>Хризантема Шик</t>
  </si>
  <si>
    <t>Хризантема Шик крем</t>
  </si>
  <si>
    <t>Гвоздика Киви Мелоу</t>
  </si>
  <si>
    <t>Орхидея белая</t>
  </si>
  <si>
    <t>Орхидея зеленая</t>
  </si>
  <si>
    <t>Орхидея красная</t>
  </si>
  <si>
    <t>Орхидея розовая</t>
  </si>
  <si>
    <t>Лилия белая</t>
  </si>
  <si>
    <t>Лилия махровая белая</t>
  </si>
  <si>
    <t>Лилия махровая розовая</t>
  </si>
  <si>
    <t>Лилия розовая</t>
  </si>
  <si>
    <t>Аллиум</t>
  </si>
  <si>
    <t>Альстроемерия Чармелия белая</t>
  </si>
  <si>
    <t>Альстроемерия Чармелия Розовая</t>
  </si>
  <si>
    <t>Амарант зеленый</t>
  </si>
  <si>
    <t>Антиринум белый</t>
  </si>
  <si>
    <t>Антиринум Желтый</t>
  </si>
  <si>
    <t>Антиринум сильвер</t>
  </si>
  <si>
    <t>Антуриум белый</t>
  </si>
  <si>
    <t>Антуриум блэк лав</t>
  </si>
  <si>
    <t>Антуриум зеленый</t>
  </si>
  <si>
    <t>Антуриум Коньяк</t>
  </si>
  <si>
    <t>Антуриум Либра роозовый</t>
  </si>
  <si>
    <t>Антуриум текила</t>
  </si>
  <si>
    <t>Астильба белая</t>
  </si>
  <si>
    <t>Астильба розовая</t>
  </si>
  <si>
    <t>Бруния</t>
  </si>
  <si>
    <t>Вибурнум Росеум</t>
  </si>
  <si>
    <t>Гелиантус</t>
  </si>
  <si>
    <t>Гербера кремовая игольчатая</t>
  </si>
  <si>
    <t>Гербера мини Алекс-Нур</t>
  </si>
  <si>
    <t>Гербера мини белая</t>
  </si>
  <si>
    <t>Гербера мини розовая</t>
  </si>
  <si>
    <t>Гербера мини Эспрессо</t>
  </si>
  <si>
    <t>Гербера Паста Крем</t>
  </si>
  <si>
    <t>Гербера помпон бордовая</t>
  </si>
  <si>
    <t>Гербера помпон крем</t>
  </si>
  <si>
    <t>Гиперикум белый</t>
  </si>
  <si>
    <t>Гортензия белая</t>
  </si>
  <si>
    <t>Гортензия голубая</t>
  </si>
  <si>
    <t>Гортензия зеленая</t>
  </si>
  <si>
    <t>Гортензия зелено-розовая</t>
  </si>
  <si>
    <t>Гортензия малиновая</t>
  </si>
  <si>
    <t>Гортензия розовая</t>
  </si>
  <si>
    <t>Гортензия розовая классик</t>
  </si>
  <si>
    <t>Гортензия светло-розовая</t>
  </si>
  <si>
    <t>Гортензия синяя</t>
  </si>
  <si>
    <t>Гортензия сиреневая</t>
  </si>
  <si>
    <t>Дельфиниум голобая</t>
  </si>
  <si>
    <t>Дельфиниум светло-розовый</t>
  </si>
  <si>
    <t>Ирис белый</t>
  </si>
  <si>
    <t>Ирис синий</t>
  </si>
  <si>
    <t>Калла белая</t>
  </si>
  <si>
    <t>Калла бордовая</t>
  </si>
  <si>
    <t>Калла Ред Сальса</t>
  </si>
  <si>
    <t>Калла розовая</t>
  </si>
  <si>
    <t>Калла самур</t>
  </si>
  <si>
    <t>Калла черная</t>
  </si>
  <si>
    <t>Калла эскейп</t>
  </si>
  <si>
    <t>Кампанула белая</t>
  </si>
  <si>
    <t>Кампанула зелено-розовая</t>
  </si>
  <si>
    <t>Кампанула розовая</t>
  </si>
  <si>
    <t>Котинус</t>
  </si>
  <si>
    <t>Котинус Роял перпл</t>
  </si>
  <si>
    <t>Леукоспернум</t>
  </si>
  <si>
    <t>Лимониум розовый</t>
  </si>
  <si>
    <t>Матиола Априкот</t>
  </si>
  <si>
    <t>Матиола белая</t>
  </si>
  <si>
    <t>Матиола желтая</t>
  </si>
  <si>
    <t>Матиола импала</t>
  </si>
  <si>
    <t>Матиола лавандовая</t>
  </si>
  <si>
    <t>Матиола розовая</t>
  </si>
  <si>
    <t>Матиола сильвер</t>
  </si>
  <si>
    <t>Матиола сиреневая</t>
  </si>
  <si>
    <t>Мята, Пуч</t>
  </si>
  <si>
    <t>Нигела</t>
  </si>
  <si>
    <t>Оксипеталум</t>
  </si>
  <si>
    <t>Орнитогалум</t>
  </si>
  <si>
    <t>Пион Авис</t>
  </si>
  <si>
    <t>Пион Аивори белый</t>
  </si>
  <si>
    <t>Пион Корал Сансет</t>
  </si>
  <si>
    <t>Пион Мадам Клауд Тейн</t>
  </si>
  <si>
    <t>Пион Пилоу толк</t>
  </si>
  <si>
    <t>Пион Ред Шарм</t>
  </si>
  <si>
    <t>Пион Сальмон</t>
  </si>
  <si>
    <t>Пион Сара Бернард</t>
  </si>
  <si>
    <t>Протея Айоба Айс</t>
  </si>
  <si>
    <t>Протея Бренда</t>
  </si>
  <si>
    <t>Скабиоза черная</t>
  </si>
  <si>
    <t>Тюльпан розовый</t>
  </si>
  <si>
    <t>Фрезия белая</t>
  </si>
  <si>
    <t>Хелеборус белый</t>
  </si>
  <si>
    <t>Целозия зеленая</t>
  </si>
  <si>
    <t>Целозия Оранжевая</t>
  </si>
  <si>
    <t>Целозия Розовая</t>
  </si>
  <si>
    <t>Эрингиум супернова</t>
  </si>
  <si>
    <t>Эустома Алиса априкот БИГ САН</t>
  </si>
  <si>
    <t>Эустома Алиса белая</t>
  </si>
  <si>
    <t>Эустома Алиса белая БИГ САН</t>
  </si>
  <si>
    <t>Эустома Алиса розовая</t>
  </si>
  <si>
    <t>Эустома Алиса розовая БИГ САН</t>
  </si>
  <si>
    <t>Эустома Алиса фиолет</t>
  </si>
  <si>
    <t>Эустома Алиса эприкот</t>
  </si>
  <si>
    <t>Эустома белая</t>
  </si>
  <si>
    <t>Эустома бело-розовая</t>
  </si>
  <si>
    <t>Эустома бело-синяя</t>
  </si>
  <si>
    <t>Эустома Вейдинг Пинк</t>
  </si>
  <si>
    <t>Эустома зеленая</t>
  </si>
  <si>
    <t>Эустома светло-розовая</t>
  </si>
  <si>
    <t>Эустома сиреневая</t>
  </si>
  <si>
    <t>Эустома Софт Пинк</t>
  </si>
  <si>
    <t>Эустома терракот</t>
  </si>
  <si>
    <t>эустома Фальда априкот</t>
  </si>
  <si>
    <t>Эустома Целеб белая</t>
  </si>
  <si>
    <t>Эустома Целеб Квин розовая</t>
  </si>
  <si>
    <t>Роза ветвистая Азор NL</t>
  </si>
  <si>
    <t>Роза ветвистая Гуд Муд NL</t>
  </si>
  <si>
    <t>Роза ветвистая Вуетте NL</t>
  </si>
  <si>
    <t>Роза ветвистая Жизель NL</t>
  </si>
  <si>
    <t>Роза ветвистая Квинси NL</t>
  </si>
  <si>
    <t>Роза ветвистая нанди</t>
  </si>
  <si>
    <t>Роза ветвистая Роял Блаш NL</t>
  </si>
  <si>
    <t>Роза ветвистая Рубикон NL</t>
  </si>
  <si>
    <t>Роза ветвистая Салинеро NL</t>
  </si>
  <si>
    <t>Роза ветвистая Саммер роуз NL</t>
  </si>
  <si>
    <t>Роза ветвистая Сансет Меджик NL</t>
  </si>
  <si>
    <t>Роза ветвистая Сильвия пинк NL</t>
  </si>
  <si>
    <t>Роза ветвистая Хэппи вейдинг NL</t>
  </si>
  <si>
    <t>Роза ветвистая Бачелор NL</t>
  </si>
  <si>
    <t>Роза ветвистая Дарлингтон NL</t>
  </si>
  <si>
    <t>Роза ветвистая Джелато NL</t>
  </si>
  <si>
    <t>Роза ветвистая Лейла NL</t>
  </si>
  <si>
    <t>Роза ветвистая Саммер дэнс NL</t>
  </si>
  <si>
    <t>Роза ветвистая Свит Каталина NL</t>
  </si>
  <si>
    <t>Роза ветвистая Софи NL</t>
  </si>
  <si>
    <t>Роза ветвистая Ферст Дейт 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</si>
</sst>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0"/>
      <name val="Arial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b/>
      <sz val="12"/>
      <color indexed="8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i/>
      <sz val="12"/>
      <color indexed="8"/>
      <name val="Calibri"/>
      <family val="2"/>
      <charset val="204"/>
    </font>
    <font>
      <sz val="10"/>
      <name val="Arial"/>
      <family val="2"/>
      <charset val="204"/>
    </font>
    <font>
      <sz val="10"/>
      <color indexed="8"/>
      <name val="Arial"/>
      <family val="2"/>
      <charset val="204"/>
    </font>
    <font>
      <sz val="12"/>
      <name val="Arial Cyr"/>
      <family val="2"/>
      <charset val="204"/>
    </font>
    <font>
      <sz val="10"/>
      <color indexed="8"/>
      <name val="Arial"/>
    </font>
    <font>
      <b/>
      <sz val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 applyAlignment="1" applyProtection="1">
      <alignment horizontal="left" vertical="top"/>
      <protection locked="0"/>
    </xf>
    <xf numFmtId="0" fontId="5" fillId="0" borderId="0" xfId="0" applyFont="1"/>
    <xf numFmtId="0" fontId="6" fillId="0" borderId="0" xfId="0" applyFont="1"/>
    <xf numFmtId="2" fontId="7" fillId="0" borderId="0" xfId="1" applyNumberFormat="1"/>
    <xf numFmtId="0" fontId="7" fillId="0" borderId="1" xfId="1" applyBorder="1"/>
    <xf numFmtId="1" fontId="8" fillId="0" borderId="1" xfId="1" applyNumberFormat="1" applyFont="1" applyBorder="1" applyAlignment="1" applyProtection="1">
      <alignment horizontal="left" vertical="center"/>
      <protection locked="0"/>
    </xf>
    <xf numFmtId="2" fontId="1" fillId="0" borderId="1" xfId="0" applyNumberFormat="1" applyFont="1" applyBorder="1"/>
    <xf numFmtId="2" fontId="2" fillId="0" borderId="1" xfId="0" applyNumberFormat="1" applyFont="1" applyBorder="1"/>
    <xf numFmtId="2" fontId="9" fillId="0" borderId="1" xfId="0" applyNumberFormat="1" applyFont="1" applyBorder="1"/>
    <xf numFmtId="0" fontId="10" fillId="0" borderId="0" xfId="0" applyFont="1" applyAlignment="1" applyProtection="1">
      <alignment horizontal="left" vertical="top"/>
      <protection locked="0"/>
    </xf>
    <xf numFmtId="0" fontId="7" fillId="2" borderId="1" xfId="1" applyFill="1" applyBorder="1"/>
    <xf numFmtId="1" fontId="8" fillId="2" borderId="1" xfId="1" applyNumberFormat="1" applyFont="1" applyFill="1" applyBorder="1" applyAlignment="1" applyProtection="1">
      <alignment horizontal="left" vertical="center"/>
      <protection locked="0"/>
    </xf>
    <xf numFmtId="2" fontId="1" fillId="2" borderId="1" xfId="0" applyNumberFormat="1" applyFont="1" applyFill="1" applyBorder="1"/>
    <xf numFmtId="2" fontId="2" fillId="2" borderId="1" xfId="0" applyNumberFormat="1" applyFont="1" applyFill="1" applyBorder="1"/>
    <xf numFmtId="2" fontId="9" fillId="2" borderId="1" xfId="0" applyNumberFormat="1" applyFont="1" applyFill="1" applyBorder="1"/>
    <xf numFmtId="2" fontId="7" fillId="3" borderId="0" xfId="1" applyNumberFormat="1" applyFill="1"/>
    <xf numFmtId="2" fontId="7" fillId="2" borderId="0" xfId="1" applyNumberFormat="1" applyFill="1"/>
    <xf numFmtId="0" fontId="11" fillId="0" borderId="0" xfId="0" applyFont="1"/>
  </cellXfs>
  <cellStyles count="2">
    <cellStyle name="Обычный" xfId="0" builtinId="0"/>
    <cellStyle name="Обычный 6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externalLinks/externalLink1.xml" Type="http://schemas.openxmlformats.org/officeDocument/2006/relationships/externalLink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externalLinks/_rels/externalLink1.xml.rels><?xml version="1.0" encoding="UTF-8" standalone="no"?><Relationships xmlns="http://schemas.openxmlformats.org/package/2006/relationships"><Relationship Id="rId1" Target="https://d.docs.live.net/67313994f36ca97e/Desktop/&#1053;&#1086;&#1074;&#1072;&#1103;%20&#1087;&#1072;&#1087;&#1082;&#1072;/26FF0613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Лист1"/>
      <sheetName val="Лист2"/>
      <sheetName val="Лист3"/>
      <sheetName val="Лист4"/>
      <sheetName val="Лист7"/>
      <sheetName val="Лист8"/>
      <sheetName val="лист10"/>
      <sheetName val="лист11"/>
      <sheetName val="лист21"/>
      <sheetName val="лист31"/>
      <sheetName val="лист41"/>
      <sheetName val="Лист3 (2)"/>
      <sheetName val="Лист5"/>
      <sheetName val="Лист6"/>
      <sheetName val="Лист3 (3)"/>
    </sheetNames>
    <sheetDataSet>
      <sheetData sheetId="0"/>
      <sheetData sheetId="1"/>
      <sheetData sheetId="2"/>
      <sheetData sheetId="3"/>
      <sheetData sheetId="4">
        <row r="2">
          <cell r="A2">
            <v>1</v>
          </cell>
        </row>
        <row r="6">
          <cell r="A6">
            <v>1</v>
          </cell>
        </row>
        <row r="7">
          <cell r="A7">
            <v>1</v>
          </cell>
        </row>
        <row r="14">
          <cell r="A14">
            <v>1</v>
          </cell>
        </row>
        <row r="15">
          <cell r="A15">
            <v>1</v>
          </cell>
        </row>
        <row r="16">
          <cell r="A16">
            <v>1</v>
          </cell>
        </row>
        <row r="17">
          <cell r="A17">
            <v>1</v>
          </cell>
        </row>
        <row r="18">
          <cell r="A18">
            <v>1</v>
          </cell>
        </row>
        <row r="19">
          <cell r="A19">
            <v>1</v>
          </cell>
        </row>
        <row r="20">
          <cell r="A20">
            <v>1</v>
          </cell>
        </row>
        <row r="21">
          <cell r="A21">
            <v>1</v>
          </cell>
        </row>
        <row r="22">
          <cell r="A22">
            <v>1</v>
          </cell>
        </row>
        <row r="23">
          <cell r="A23">
            <v>1</v>
          </cell>
        </row>
        <row r="24">
          <cell r="A24">
            <v>1</v>
          </cell>
        </row>
        <row r="25">
          <cell r="A25">
            <v>1</v>
          </cell>
        </row>
        <row r="26">
          <cell r="A26">
            <v>1</v>
          </cell>
        </row>
        <row r="28">
          <cell r="A28">
            <v>1</v>
          </cell>
        </row>
        <row r="29">
          <cell r="A29">
            <v>1</v>
          </cell>
        </row>
        <row r="30">
          <cell r="A30">
            <v>1</v>
          </cell>
        </row>
        <row r="31">
          <cell r="A31">
            <v>1</v>
          </cell>
        </row>
        <row r="32">
          <cell r="A32">
            <v>1</v>
          </cell>
        </row>
        <row r="33">
          <cell r="A33">
            <v>1</v>
          </cell>
        </row>
        <row r="34">
          <cell r="A34">
            <v>1</v>
          </cell>
        </row>
        <row r="35">
          <cell r="A35">
            <v>1</v>
          </cell>
        </row>
        <row r="36">
          <cell r="A36">
            <v>1</v>
          </cell>
        </row>
        <row r="37">
          <cell r="A37">
            <v>1</v>
          </cell>
        </row>
        <row r="38">
          <cell r="A38">
            <v>2</v>
          </cell>
        </row>
        <row r="39">
          <cell r="A39">
            <v>2</v>
          </cell>
        </row>
        <row r="40">
          <cell r="A40">
            <v>2</v>
          </cell>
        </row>
        <row r="41">
          <cell r="A41">
            <v>2</v>
          </cell>
        </row>
        <row r="42">
          <cell r="A42">
            <v>2</v>
          </cell>
        </row>
        <row r="43">
          <cell r="A43">
            <v>2</v>
          </cell>
        </row>
        <row r="44">
          <cell r="A44">
            <v>2</v>
          </cell>
        </row>
        <row r="45">
          <cell r="A45">
            <v>2</v>
          </cell>
        </row>
        <row r="49">
          <cell r="A49">
            <v>2</v>
          </cell>
        </row>
        <row r="52">
          <cell r="A52">
            <v>2</v>
          </cell>
        </row>
        <row r="53">
          <cell r="A53">
            <v>2</v>
          </cell>
        </row>
        <row r="55">
          <cell r="A55">
            <v>2</v>
          </cell>
        </row>
        <row r="56">
          <cell r="A56">
            <v>2</v>
          </cell>
        </row>
        <row r="57">
          <cell r="A57">
            <v>2</v>
          </cell>
        </row>
        <row r="58">
          <cell r="A58">
            <v>2</v>
          </cell>
        </row>
        <row r="59">
          <cell r="A59">
            <v>2</v>
          </cell>
        </row>
        <row r="60">
          <cell r="A60">
            <v>2</v>
          </cell>
        </row>
        <row r="61">
          <cell r="A61">
            <v>2</v>
          </cell>
        </row>
        <row r="62">
          <cell r="A62">
            <v>2</v>
          </cell>
        </row>
        <row r="64">
          <cell r="A64">
            <v>2</v>
          </cell>
        </row>
        <row r="65">
          <cell r="A65">
            <v>2</v>
          </cell>
        </row>
        <row r="67">
          <cell r="A67">
            <v>2</v>
          </cell>
        </row>
        <row r="68">
          <cell r="A68">
            <v>2</v>
          </cell>
        </row>
        <row r="69">
          <cell r="A69">
            <v>2</v>
          </cell>
        </row>
        <row r="70">
          <cell r="A70">
            <v>3</v>
          </cell>
        </row>
        <row r="71">
          <cell r="A71">
            <v>4</v>
          </cell>
        </row>
        <row r="72">
          <cell r="A72">
            <v>4</v>
          </cell>
        </row>
        <row r="73">
          <cell r="A73">
            <v>4</v>
          </cell>
        </row>
        <row r="74">
          <cell r="A74">
            <v>4</v>
          </cell>
        </row>
        <row r="75">
          <cell r="A75">
            <v>6</v>
          </cell>
        </row>
        <row r="76">
          <cell r="A76">
            <v>6</v>
          </cell>
        </row>
        <row r="77">
          <cell r="A77">
            <v>6</v>
          </cell>
        </row>
        <row r="78">
          <cell r="A78">
            <v>6</v>
          </cell>
        </row>
        <row r="79">
          <cell r="A79">
            <v>8</v>
          </cell>
        </row>
        <row r="80">
          <cell r="A80">
            <v>8</v>
          </cell>
        </row>
        <row r="81">
          <cell r="A81">
            <v>8</v>
          </cell>
        </row>
        <row r="82">
          <cell r="A82">
            <v>8</v>
          </cell>
        </row>
        <row r="83">
          <cell r="A83">
            <v>8</v>
          </cell>
        </row>
        <row r="84">
          <cell r="A84">
            <v>8</v>
          </cell>
        </row>
        <row r="85">
          <cell r="A85">
            <v>8</v>
          </cell>
        </row>
        <row r="86">
          <cell r="A86">
            <v>8</v>
          </cell>
        </row>
        <row r="87">
          <cell r="A87">
            <v>8</v>
          </cell>
        </row>
        <row r="88">
          <cell r="A88">
            <v>8</v>
          </cell>
        </row>
        <row r="89">
          <cell r="A89">
            <v>8</v>
          </cell>
        </row>
        <row r="90">
          <cell r="A90">
            <v>8</v>
          </cell>
        </row>
        <row r="91">
          <cell r="A91">
            <v>8</v>
          </cell>
        </row>
        <row r="92">
          <cell r="A92">
            <v>8</v>
          </cell>
        </row>
        <row r="93">
          <cell r="A93">
            <v>8</v>
          </cell>
        </row>
        <row r="94">
          <cell r="A94">
            <v>8</v>
          </cell>
        </row>
        <row r="95">
          <cell r="A95">
            <v>8</v>
          </cell>
        </row>
        <row r="96">
          <cell r="A96">
            <v>8</v>
          </cell>
        </row>
        <row r="97">
          <cell r="A97">
            <v>8</v>
          </cell>
        </row>
        <row r="98">
          <cell r="A98">
            <v>8</v>
          </cell>
        </row>
        <row r="99">
          <cell r="A99">
            <v>8</v>
          </cell>
        </row>
        <row r="100">
          <cell r="A100">
            <v>8</v>
          </cell>
        </row>
        <row r="101">
          <cell r="A101">
            <v>8</v>
          </cell>
        </row>
        <row r="102">
          <cell r="A102">
            <v>8</v>
          </cell>
        </row>
        <row r="103">
          <cell r="A103">
            <v>8</v>
          </cell>
        </row>
        <row r="104">
          <cell r="A104">
            <v>8</v>
          </cell>
        </row>
        <row r="105">
          <cell r="A105">
            <v>8</v>
          </cell>
        </row>
        <row r="106">
          <cell r="A106">
            <v>8</v>
          </cell>
        </row>
        <row r="107">
          <cell r="A107">
            <v>8</v>
          </cell>
        </row>
        <row r="108">
          <cell r="A108">
            <v>8</v>
          </cell>
        </row>
        <row r="109">
          <cell r="A109">
            <v>8</v>
          </cell>
        </row>
        <row r="110">
          <cell r="A110">
            <v>8</v>
          </cell>
        </row>
        <row r="111">
          <cell r="A111">
            <v>8</v>
          </cell>
        </row>
        <row r="112">
          <cell r="A112">
            <v>8</v>
          </cell>
        </row>
        <row r="113">
          <cell r="A113">
            <v>8</v>
          </cell>
        </row>
        <row r="114">
          <cell r="A114">
            <v>8</v>
          </cell>
        </row>
        <row r="115">
          <cell r="A115">
            <v>8</v>
          </cell>
        </row>
        <row r="116">
          <cell r="A116">
            <v>8</v>
          </cell>
        </row>
        <row r="117">
          <cell r="A117">
            <v>8</v>
          </cell>
        </row>
        <row r="118">
          <cell r="A118">
            <v>8</v>
          </cell>
        </row>
        <row r="119">
          <cell r="A119">
            <v>8</v>
          </cell>
        </row>
        <row r="120">
          <cell r="A120">
            <v>8</v>
          </cell>
        </row>
        <row r="121">
          <cell r="A121">
            <v>8</v>
          </cell>
        </row>
        <row r="122">
          <cell r="A122">
            <v>8</v>
          </cell>
        </row>
        <row r="123">
          <cell r="A123">
            <v>8</v>
          </cell>
        </row>
        <row r="124">
          <cell r="A124">
            <v>8</v>
          </cell>
        </row>
        <row r="125">
          <cell r="A125">
            <v>8</v>
          </cell>
        </row>
        <row r="126">
          <cell r="A126">
            <v>8</v>
          </cell>
        </row>
        <row r="127">
          <cell r="A127">
            <v>8</v>
          </cell>
        </row>
        <row r="128">
          <cell r="A128">
            <v>8</v>
          </cell>
        </row>
        <row r="129">
          <cell r="A129">
            <v>8</v>
          </cell>
        </row>
        <row r="130">
          <cell r="A130">
            <v>8</v>
          </cell>
        </row>
        <row r="131">
          <cell r="A131">
            <v>8</v>
          </cell>
        </row>
        <row r="132">
          <cell r="A132">
            <v>8</v>
          </cell>
        </row>
        <row r="133">
          <cell r="A133">
            <v>8</v>
          </cell>
        </row>
        <row r="135">
          <cell r="A135">
            <v>8</v>
          </cell>
        </row>
        <row r="136">
          <cell r="A136">
            <v>8</v>
          </cell>
        </row>
        <row r="137">
          <cell r="A137">
            <v>8</v>
          </cell>
        </row>
        <row r="138">
          <cell r="A138">
            <v>8</v>
          </cell>
        </row>
        <row r="139">
          <cell r="A139">
            <v>8</v>
          </cell>
        </row>
        <row r="140">
          <cell r="A140">
            <v>8</v>
          </cell>
        </row>
        <row r="141">
          <cell r="A141">
            <v>8</v>
          </cell>
        </row>
        <row r="142">
          <cell r="A142">
            <v>8</v>
          </cell>
        </row>
        <row r="143">
          <cell r="A143">
            <v>8</v>
          </cell>
        </row>
        <row r="144">
          <cell r="A144">
            <v>8</v>
          </cell>
        </row>
        <row r="145">
          <cell r="A145">
            <v>8</v>
          </cell>
        </row>
        <row r="146">
          <cell r="A146">
            <v>8</v>
          </cell>
        </row>
        <row r="147">
          <cell r="A147">
            <v>8</v>
          </cell>
        </row>
        <row r="148">
          <cell r="A148">
            <v>8</v>
          </cell>
        </row>
        <row r="149">
          <cell r="A149">
            <v>8</v>
          </cell>
        </row>
        <row r="150">
          <cell r="A150">
            <v>8</v>
          </cell>
        </row>
        <row r="151">
          <cell r="A151">
            <v>8</v>
          </cell>
        </row>
        <row r="152">
          <cell r="A152">
            <v>8</v>
          </cell>
        </row>
        <row r="153">
          <cell r="A153">
            <v>8</v>
          </cell>
        </row>
        <row r="154">
          <cell r="A154">
            <v>8</v>
          </cell>
        </row>
        <row r="155">
          <cell r="A155">
            <v>8</v>
          </cell>
        </row>
        <row r="156">
          <cell r="A156">
            <v>8</v>
          </cell>
        </row>
        <row r="157">
          <cell r="A157">
            <v>8</v>
          </cell>
        </row>
        <row r="158">
          <cell r="A158">
            <v>8</v>
          </cell>
        </row>
        <row r="159">
          <cell r="A159">
            <v>8</v>
          </cell>
        </row>
        <row r="160">
          <cell r="A160">
            <v>8</v>
          </cell>
        </row>
        <row r="161">
          <cell r="A161">
            <v>8</v>
          </cell>
        </row>
        <row r="162">
          <cell r="A162">
            <v>8</v>
          </cell>
        </row>
        <row r="163">
          <cell r="A163">
            <v>8</v>
          </cell>
        </row>
        <row r="165">
          <cell r="A165">
            <v>8</v>
          </cell>
        </row>
        <row r="166">
          <cell r="A166">
            <v>8</v>
          </cell>
        </row>
        <row r="167">
          <cell r="A167">
            <v>8</v>
          </cell>
        </row>
        <row r="168">
          <cell r="A168">
            <v>8</v>
          </cell>
        </row>
        <row r="169">
          <cell r="A169">
            <v>8</v>
          </cell>
        </row>
        <row r="170">
          <cell r="A170">
            <v>8</v>
          </cell>
        </row>
        <row r="171">
          <cell r="A171">
            <v>8</v>
          </cell>
        </row>
        <row r="172">
          <cell r="A172">
            <v>8</v>
          </cell>
        </row>
        <row r="174">
          <cell r="A174">
            <v>8</v>
          </cell>
        </row>
        <row r="175">
          <cell r="A175">
            <v>8</v>
          </cell>
        </row>
        <row r="176">
          <cell r="A176">
            <v>8</v>
          </cell>
        </row>
        <row r="177">
          <cell r="A177">
            <v>8</v>
          </cell>
        </row>
        <row r="178">
          <cell r="A178">
            <v>8</v>
          </cell>
        </row>
        <row r="179">
          <cell r="A179">
            <v>8</v>
          </cell>
        </row>
        <row r="180">
          <cell r="A180">
            <v>8</v>
          </cell>
        </row>
        <row r="181">
          <cell r="A181">
            <v>8</v>
          </cell>
        </row>
        <row r="182">
          <cell r="A182">
            <v>8</v>
          </cell>
        </row>
        <row r="183">
          <cell r="A183">
            <v>8</v>
          </cell>
        </row>
        <row r="184">
          <cell r="A184">
            <v>8</v>
          </cell>
        </row>
        <row r="185">
          <cell r="A185">
            <v>8</v>
          </cell>
        </row>
        <row r="186">
          <cell r="A186">
            <v>2</v>
          </cell>
        </row>
        <row r="187">
          <cell r="A187">
            <v>2</v>
          </cell>
        </row>
        <row r="188">
          <cell r="A188">
            <v>2</v>
          </cell>
        </row>
        <row r="189">
          <cell r="A189">
            <v>2</v>
          </cell>
        </row>
        <row r="190">
          <cell r="A190">
            <v>2</v>
          </cell>
        </row>
        <row r="191">
          <cell r="A191">
            <v>2</v>
          </cell>
        </row>
        <row r="192">
          <cell r="A192">
            <v>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https://flowerforce.nl/pictures/X11118622_H_1.jpg" TargetMode="External" Type="http://schemas.openxmlformats.org/officeDocument/2006/relationships/hyperlink"/><Relationship Id="rId10" Target="https://flowerforce.nl/pictures/K15005_120477_70_H_2.jpg" TargetMode="External" Type="http://schemas.openxmlformats.org/officeDocument/2006/relationships/hyperlink"/><Relationship Id="rId100" Target="https://flowerforce.nl/pictures/X11081416_H_1.jpg" TargetMode="External" Type="http://schemas.openxmlformats.org/officeDocument/2006/relationships/hyperlink"/><Relationship Id="rId101" Target="https://flowerforce.nl/pictures/X11118674_H_2.jpg" TargetMode="External" Type="http://schemas.openxmlformats.org/officeDocument/2006/relationships/hyperlink"/><Relationship Id="rId102" Target="https://flowerforce.nl/pictures/X11081411_V_2.jpg" TargetMode="External" Type="http://schemas.openxmlformats.org/officeDocument/2006/relationships/hyperlink"/><Relationship Id="rId103" Target="https://flowerforce.nl/pictures/X11001986_H_2.jpg" TargetMode="External" Type="http://schemas.openxmlformats.org/officeDocument/2006/relationships/hyperlink"/><Relationship Id="rId104" Target="https://flowerforce.nl/pictures/X11118671_H_1.jpg" TargetMode="External" Type="http://schemas.openxmlformats.org/officeDocument/2006/relationships/hyperlink"/><Relationship Id="rId105" Target="https://flowerforce.nl/pictures/X11107226_H_2.jpg" TargetMode="External" Type="http://schemas.openxmlformats.org/officeDocument/2006/relationships/hyperlink"/><Relationship Id="rId106" Target="https://flowerforce.nl/pictures/X11118668_H_2.jpg" TargetMode="External" Type="http://schemas.openxmlformats.org/officeDocument/2006/relationships/hyperlink"/><Relationship Id="rId107" Target="https://flowerforce.nl/pictures/X11118673_H_1.jpg" TargetMode="External" Type="http://schemas.openxmlformats.org/officeDocument/2006/relationships/hyperlink"/><Relationship Id="rId108" Target="https://flowerforce.nl/pictures/X11118658_V_2.jpg" TargetMode="External" Type="http://schemas.openxmlformats.org/officeDocument/2006/relationships/hyperlink"/><Relationship Id="rId109" Target="https://flowerforce.nl/pictures/X11118660_V_2.jpg" TargetMode="External" Type="http://schemas.openxmlformats.org/officeDocument/2006/relationships/hyperlink"/><Relationship Id="rId11" Target="https://flowerforce.nl/pictures/X11100536_H_2.jpg" TargetMode="External" Type="http://schemas.openxmlformats.org/officeDocument/2006/relationships/hyperlink"/><Relationship Id="rId110" Target="https://flowerforce.nl/pictures/X11113741_H_2.jpg" TargetMode="External" Type="http://schemas.openxmlformats.org/officeDocument/2006/relationships/hyperlink"/><Relationship Id="rId111" Target="https://flowerforce.nl/pictures/X11113626_H_2.jpg" TargetMode="External" Type="http://schemas.openxmlformats.org/officeDocument/2006/relationships/hyperlink"/><Relationship Id="rId112" Target="https://flowerforce.nl/pictures/X11119049_H_2.jpg" TargetMode="External" Type="http://schemas.openxmlformats.org/officeDocument/2006/relationships/hyperlink"/><Relationship Id="rId113" Target="https://flowerforce.nl/pictures/X11119048_H_2.jpg" TargetMode="External" Type="http://schemas.openxmlformats.org/officeDocument/2006/relationships/hyperlink"/><Relationship Id="rId114" Target="https://flowerforce.nl/pictures/X11119050_H_2.jpg" TargetMode="External" Type="http://schemas.openxmlformats.org/officeDocument/2006/relationships/hyperlink"/><Relationship Id="rId115" Target="https://flowerforce.nl/pictures/X11119052_H_2.jpg" TargetMode="External" Type="http://schemas.openxmlformats.org/officeDocument/2006/relationships/hyperlink"/><Relationship Id="rId116" Target="https://flowerforce.nl/pictures/X11113582_H_1.jpg" TargetMode="External" Type="http://schemas.openxmlformats.org/officeDocument/2006/relationships/hyperlink"/><Relationship Id="rId117" Target="https://flowerforce.nl/pictures/X11113562_H_2.jpg" TargetMode="External" Type="http://schemas.openxmlformats.org/officeDocument/2006/relationships/hyperlink"/><Relationship Id="rId118" Target="https://flowerforce.nl/pictures/X11113566_H_1.jpg" TargetMode="External" Type="http://schemas.openxmlformats.org/officeDocument/2006/relationships/hyperlink"/><Relationship Id="rId119" Target="https://flowerforce.nl/pictures/X11119087_H_1.jpg" TargetMode="External" Type="http://schemas.openxmlformats.org/officeDocument/2006/relationships/hyperlink"/><Relationship Id="rId12" Target="https://flowerforce.nl/pictures/X11107139_H_2.jpg" TargetMode="External" Type="http://schemas.openxmlformats.org/officeDocument/2006/relationships/hyperlink"/><Relationship Id="rId120" Target="https://flowerforce.nl/pictures/X11113845_H_1.jpg" TargetMode="External" Type="http://schemas.openxmlformats.org/officeDocument/2006/relationships/hyperlink"/><Relationship Id="rId121" Target="https://flowerforce.nl/pictures/X11119156_H_2.jpg" TargetMode="External" Type="http://schemas.openxmlformats.org/officeDocument/2006/relationships/hyperlink"/><Relationship Id="rId122" Target="https://flowerforce.nl/pictures/X11119078_H_2.jpg" TargetMode="External" Type="http://schemas.openxmlformats.org/officeDocument/2006/relationships/hyperlink"/><Relationship Id="rId123" Target="https://flowerforce.nl/pictures/X11076050_H_2.jpg" TargetMode="External" Type="http://schemas.openxmlformats.org/officeDocument/2006/relationships/hyperlink"/><Relationship Id="rId124" Target="https://flowerforce.nl/pictures/X11113589_H_2.jpg" TargetMode="External" Type="http://schemas.openxmlformats.org/officeDocument/2006/relationships/hyperlink"/><Relationship Id="rId125" Target="https://flowerforce.nl/pictures/X11119108_V_2.jpg" TargetMode="External" Type="http://schemas.openxmlformats.org/officeDocument/2006/relationships/hyperlink"/><Relationship Id="rId126" Target="https://flowerforce.nl/pictures/X11119082_H_2.jpg" TargetMode="External" Type="http://schemas.openxmlformats.org/officeDocument/2006/relationships/hyperlink"/><Relationship Id="rId127" Target="https://flowerforce.nl/pictures/X11119107_H_2.jpg" TargetMode="External" Type="http://schemas.openxmlformats.org/officeDocument/2006/relationships/hyperlink"/><Relationship Id="rId128" Target="https://flowerforce.nl/pictures/X11119109_V_2.jpg" TargetMode="External" Type="http://schemas.openxmlformats.org/officeDocument/2006/relationships/hyperlink"/><Relationship Id="rId129" Target="https://flowerforce.nl/pictures/X10994711_H_2.jpg" TargetMode="External" Type="http://schemas.openxmlformats.org/officeDocument/2006/relationships/hyperlink"/><Relationship Id="rId13" Target="https://flowerforce.nl/pictures/X11076017_H_2.jpg" TargetMode="External" Type="http://schemas.openxmlformats.org/officeDocument/2006/relationships/hyperlink"/><Relationship Id="rId130" Target="https://flowerforce.nl/pictures/X11113627_H_2.jpg" TargetMode="External" Type="http://schemas.openxmlformats.org/officeDocument/2006/relationships/hyperlink"/><Relationship Id="rId131" Target="https://flowerforce.nl/pictures/X11113653_H_2.jpg" TargetMode="External" Type="http://schemas.openxmlformats.org/officeDocument/2006/relationships/hyperlink"/><Relationship Id="rId132" Target="https://flowerforce.nl/pictures/X11119128_H_2.jpg" TargetMode="External" Type="http://schemas.openxmlformats.org/officeDocument/2006/relationships/hyperlink"/><Relationship Id="rId133" Target="https://flowerforce.nl/pictures/X11118627_H_2.jpg" TargetMode="External" Type="http://schemas.openxmlformats.org/officeDocument/2006/relationships/hyperlink"/><Relationship Id="rId134" Target="https://flowerforce.nl/pictures/X11113678_H_1.jpg" TargetMode="External" Type="http://schemas.openxmlformats.org/officeDocument/2006/relationships/hyperlink"/><Relationship Id="rId135" Target="https://flowerforce.nl/pictures/A23745_H_1.jpg" TargetMode="External" Type="http://schemas.openxmlformats.org/officeDocument/2006/relationships/hyperlink"/><Relationship Id="rId136" Target="https://flowerforce.nl/pictures/X11113681_H_2.jpg" TargetMode="External" Type="http://schemas.openxmlformats.org/officeDocument/2006/relationships/hyperlink"/><Relationship Id="rId137" Target="https://flowerforce.nl/pictures/X11113677_H_2.jpg" TargetMode="External" Type="http://schemas.openxmlformats.org/officeDocument/2006/relationships/hyperlink"/><Relationship Id="rId138" Target="https://flowerforce.nl/pictures/A246_H_2.jpg" TargetMode="External" Type="http://schemas.openxmlformats.org/officeDocument/2006/relationships/hyperlink"/><Relationship Id="rId139" Target="https://flowerforce.nl/pictures/A23558_H_1.jpg" TargetMode="External" Type="http://schemas.openxmlformats.org/officeDocument/2006/relationships/hyperlink"/><Relationship Id="rId14" Target="https://flowerforce.nl/pictures/X11081473_H_2.jpg" TargetMode="External" Type="http://schemas.openxmlformats.org/officeDocument/2006/relationships/hyperlink"/><Relationship Id="rId140" Target="https://flowerforce.nl/pictures/A109968_H_1.jpg" TargetMode="External" Type="http://schemas.openxmlformats.org/officeDocument/2006/relationships/hyperlink"/><Relationship Id="rId141" Target="https://flowerforce.nl/pictures/X11118621_H_2.jpg" TargetMode="External" Type="http://schemas.openxmlformats.org/officeDocument/2006/relationships/hyperlink"/><Relationship Id="rId142" Target="https://flowerforce.nl/pictures/X11118672_H_2.jpg" TargetMode="External" Type="http://schemas.openxmlformats.org/officeDocument/2006/relationships/hyperlink"/><Relationship Id="rId143" Target="https://flowerforce.nl/pictures/X11113642_H_1.jpg" TargetMode="External" Type="http://schemas.openxmlformats.org/officeDocument/2006/relationships/hyperlink"/><Relationship Id="rId144" Target="https://flowerforce.nl/pictures/X11119093_H_2.jpg" TargetMode="External" Type="http://schemas.openxmlformats.org/officeDocument/2006/relationships/hyperlink"/><Relationship Id="rId145" Target="https://flowerforce.nl/pictures/X10976986_H_1.jpg" TargetMode="External" Type="http://schemas.openxmlformats.org/officeDocument/2006/relationships/hyperlink"/><Relationship Id="rId146" Target="https://flowerforce.nl/pictures/X11076148_H_2.jpg" TargetMode="External" Type="http://schemas.openxmlformats.org/officeDocument/2006/relationships/hyperlink"/><Relationship Id="rId147" Target="https://flowerforce.nl/pictures/X11119106_H_2.jpg" TargetMode="External" Type="http://schemas.openxmlformats.org/officeDocument/2006/relationships/hyperlink"/><Relationship Id="rId148" Target="https://flowerforce.nl/pictures/X11118675_H_1.jpg" TargetMode="External" Type="http://schemas.openxmlformats.org/officeDocument/2006/relationships/hyperlink"/><Relationship Id="rId149" Target="https://flowerforce.nl/pictures/X11081502_H_1.jpg" TargetMode="External" Type="http://schemas.openxmlformats.org/officeDocument/2006/relationships/hyperlink"/><Relationship Id="rId15" Target="https://flowerforce.nl/pictures/X11113622_H_2.jpg" TargetMode="External" Type="http://schemas.openxmlformats.org/officeDocument/2006/relationships/hyperlink"/><Relationship Id="rId150" Target="https://flowerforce.nl/pictures/A1427_H_1.jpg" TargetMode="External" Type="http://schemas.openxmlformats.org/officeDocument/2006/relationships/hyperlink"/><Relationship Id="rId151" Target="https://flowerforce.nl/pictures/A16977_H_1.jpg" TargetMode="External" Type="http://schemas.openxmlformats.org/officeDocument/2006/relationships/hyperlink"/><Relationship Id="rId152" Target="https://flowerforce.nl/pictures/K0_111650_100_H_2.jpg" TargetMode="External" Type="http://schemas.openxmlformats.org/officeDocument/2006/relationships/hyperlink"/><Relationship Id="rId153" Target="../printerSettings/printerSettings1.bin" Type="http://schemas.openxmlformats.org/officeDocument/2006/relationships/printerSettings"/><Relationship Id="rId16" Target="https://flowerforce.nl/pictures/X11113529_H_2.jpg" TargetMode="External" Type="http://schemas.openxmlformats.org/officeDocument/2006/relationships/hyperlink"/><Relationship Id="rId17" Target="https://flowerforce.nl/pictures/X9361819_H_2.jpg" TargetMode="External" Type="http://schemas.openxmlformats.org/officeDocument/2006/relationships/hyperlink"/><Relationship Id="rId18" Target="https://flowerforce.nl/pictures/X10462093_H_1.jpg" TargetMode="External" Type="http://schemas.openxmlformats.org/officeDocument/2006/relationships/hyperlink"/><Relationship Id="rId19" Target="https://flowerforce.nl/pictures/X11088471_H_2.jpg" TargetMode="External" Type="http://schemas.openxmlformats.org/officeDocument/2006/relationships/hyperlink"/><Relationship Id="rId2" Target="https://flowerforce.nl/pictures/X11081506_H_1.jpg" TargetMode="External" Type="http://schemas.openxmlformats.org/officeDocument/2006/relationships/hyperlink"/><Relationship Id="rId20" Target="https://flowerforce.nl/pictures/X11107209_H_2.jpg" TargetMode="External" Type="http://schemas.openxmlformats.org/officeDocument/2006/relationships/hyperlink"/><Relationship Id="rId21" Target="https://flowerforce.nl/pictures/X11118626_H_2.jpg" TargetMode="External" Type="http://schemas.openxmlformats.org/officeDocument/2006/relationships/hyperlink"/><Relationship Id="rId22" Target="https://flowerforce.nl/pictures/X9494450_H_2.jpg" TargetMode="External" Type="http://schemas.openxmlformats.org/officeDocument/2006/relationships/hyperlink"/><Relationship Id="rId23" Target="https://flowerforce.nl/pictures/X10795176_H_2.jpg" TargetMode="External" Type="http://schemas.openxmlformats.org/officeDocument/2006/relationships/hyperlink"/><Relationship Id="rId24" Target="https://flowerforce.nl/pictures/X9470532_H_2.jpg" TargetMode="External" Type="http://schemas.openxmlformats.org/officeDocument/2006/relationships/hyperlink"/><Relationship Id="rId25" Target="https://flowerforce.nl/pictures/X10933074_H_2.jpg" TargetMode="External" Type="http://schemas.openxmlformats.org/officeDocument/2006/relationships/hyperlink"/><Relationship Id="rId26" Target="https://flowerforce.nl/pictures/X9897003_H_2.jpg" TargetMode="External" Type="http://schemas.openxmlformats.org/officeDocument/2006/relationships/hyperlink"/><Relationship Id="rId27" Target="https://flowerforce.nl/pictures/X11075959_H_2.jpg" TargetMode="External" Type="http://schemas.openxmlformats.org/officeDocument/2006/relationships/hyperlink"/><Relationship Id="rId28" Target="https://flowerforce.nl/pictures/X11107208_H_2.jpg" TargetMode="External" Type="http://schemas.openxmlformats.org/officeDocument/2006/relationships/hyperlink"/><Relationship Id="rId29" Target="https://flowerforce.nl/pictures/X11088474_H_2.jpg" TargetMode="External" Type="http://schemas.openxmlformats.org/officeDocument/2006/relationships/hyperlink"/><Relationship Id="rId3" Target="https://flowerforce.nl/pictures/X11100653_H_2.jpg" TargetMode="External" Type="http://schemas.openxmlformats.org/officeDocument/2006/relationships/hyperlink"/><Relationship Id="rId30" Target="https://flowerforce.nl/pictures/A106552_H_2.jpg" TargetMode="External" Type="http://schemas.openxmlformats.org/officeDocument/2006/relationships/hyperlink"/><Relationship Id="rId31" Target="https://flowerforce.nl/pictures/K0_109143_H_2.jpg" TargetMode="External" Type="http://schemas.openxmlformats.org/officeDocument/2006/relationships/hyperlink"/><Relationship Id="rId32" Target="https://flowerforce.nl/pictures/X11075963_H_1.jpg" TargetMode="External" Type="http://schemas.openxmlformats.org/officeDocument/2006/relationships/hyperlink"/><Relationship Id="rId33" Target="https://flowerforce.nl/pictures/X11113590_H_1.jpg" TargetMode="External" Type="http://schemas.openxmlformats.org/officeDocument/2006/relationships/hyperlink"/><Relationship Id="rId34" Target="https://flowerforce.nl/pictures/X11113602_H_1.jpg" TargetMode="External" Type="http://schemas.openxmlformats.org/officeDocument/2006/relationships/hyperlink"/><Relationship Id="rId35" Target="https://flowerforce.nl/pictures/X11081838_H_1.jpg" TargetMode="External" Type="http://schemas.openxmlformats.org/officeDocument/2006/relationships/hyperlink"/><Relationship Id="rId36" Target="https://flowerforce.nl/pictures/X11113603_H_2.jpg" TargetMode="External" Type="http://schemas.openxmlformats.org/officeDocument/2006/relationships/hyperlink"/><Relationship Id="rId37" Target="https://flowerforce.nl/pictures/X11113620_H_2.jpg" TargetMode="External" Type="http://schemas.openxmlformats.org/officeDocument/2006/relationships/hyperlink"/><Relationship Id="rId38" Target="https://flowerforce.nl/pictures/X11113575_H_1.jpg" TargetMode="External" Type="http://schemas.openxmlformats.org/officeDocument/2006/relationships/hyperlink"/><Relationship Id="rId39" Target="https://flowerforce.nl/pictures/X11081798_H_2.jpg" TargetMode="External" Type="http://schemas.openxmlformats.org/officeDocument/2006/relationships/hyperlink"/><Relationship Id="rId4" Target="https://flowerforce.nl/pictures/X10207321_H_1.jpg" TargetMode="External" Type="http://schemas.openxmlformats.org/officeDocument/2006/relationships/hyperlink"/><Relationship Id="rId40" Target="https://flowerforce.nl/pictures/X11076129_H_2.jpg" TargetMode="External" Type="http://schemas.openxmlformats.org/officeDocument/2006/relationships/hyperlink"/><Relationship Id="rId41" Target="https://flowerforce.nl/pictures/X11113586_H_2.jpg" TargetMode="External" Type="http://schemas.openxmlformats.org/officeDocument/2006/relationships/hyperlink"/><Relationship Id="rId42" Target="https://flowerforce.nl/pictures/X11076036_H_2.jpg" TargetMode="External" Type="http://schemas.openxmlformats.org/officeDocument/2006/relationships/hyperlink"/><Relationship Id="rId43" Target="https://flowerforce.nl/pictures/X11076034_H_2.jpg" TargetMode="External" Type="http://schemas.openxmlformats.org/officeDocument/2006/relationships/hyperlink"/><Relationship Id="rId44" Target="https://flowerforce.nl/pictures/X11076034_H_2.jpg" TargetMode="External" Type="http://schemas.openxmlformats.org/officeDocument/2006/relationships/hyperlink"/><Relationship Id="rId45" Target="https://flowerforce.nl/pictures/X11081832_H_2.jpg" TargetMode="External" Type="http://schemas.openxmlformats.org/officeDocument/2006/relationships/hyperlink"/><Relationship Id="rId46" Target="https://flowerforce.nl/pictures/X11076080_H_2.jpg" TargetMode="External" Type="http://schemas.openxmlformats.org/officeDocument/2006/relationships/hyperlink"/><Relationship Id="rId47" Target="https://flowerforce.nl/pictures/X11081794_H_2.jpg" TargetMode="External" Type="http://schemas.openxmlformats.org/officeDocument/2006/relationships/hyperlink"/><Relationship Id="rId48" Target="https://flowerforce.nl/pictures/X11076119_H_2.jpg" TargetMode="External" Type="http://schemas.openxmlformats.org/officeDocument/2006/relationships/hyperlink"/><Relationship Id="rId49" Target="https://flowerforce.nl/pictures/X11076130_H_2.jpg" TargetMode="External" Type="http://schemas.openxmlformats.org/officeDocument/2006/relationships/hyperlink"/><Relationship Id="rId5" Target="https://flowerforce.nl/pictures/X10658957_H_1.jpg" TargetMode="External" Type="http://schemas.openxmlformats.org/officeDocument/2006/relationships/hyperlink"/><Relationship Id="rId50" Target="https://flowerforce.nl/pictures/X11113537_H_2.jpg" TargetMode="External" Type="http://schemas.openxmlformats.org/officeDocument/2006/relationships/hyperlink"/><Relationship Id="rId51" Target="https://flowerforce.nl/pictures/X11113536_H_2.jpg" TargetMode="External" Type="http://schemas.openxmlformats.org/officeDocument/2006/relationships/hyperlink"/><Relationship Id="rId52" Target="https://flowerforce.nl/pictures/X10863450_H_2.jpg" TargetMode="External" Type="http://schemas.openxmlformats.org/officeDocument/2006/relationships/hyperlink"/><Relationship Id="rId53" Target="https://flowerforce.nl/pictures/X11076121_H_2.jpg" TargetMode="External" Type="http://schemas.openxmlformats.org/officeDocument/2006/relationships/hyperlink"/><Relationship Id="rId54" Target="https://flowerforce.nl/pictures/X11081799_H_2.jpg" TargetMode="External" Type="http://schemas.openxmlformats.org/officeDocument/2006/relationships/hyperlink"/><Relationship Id="rId55" Target="https://flowerforce.nl/pictures/X11076133_H_2.jpg" TargetMode="External" Type="http://schemas.openxmlformats.org/officeDocument/2006/relationships/hyperlink"/><Relationship Id="rId56" Target="https://flowerforce.nl/pictures/X11119039_H_1.jpg" TargetMode="External" Type="http://schemas.openxmlformats.org/officeDocument/2006/relationships/hyperlink"/><Relationship Id="rId57" Target="https://flowerforce.nl/pictures/X10047253_H_2.jpg" TargetMode="External" Type="http://schemas.openxmlformats.org/officeDocument/2006/relationships/hyperlink"/><Relationship Id="rId58" Target="https://flowerforce.nl/pictures/X9343759_H_1.jpg" TargetMode="External" Type="http://schemas.openxmlformats.org/officeDocument/2006/relationships/hyperlink"/><Relationship Id="rId59" Target="https://flowerforce.nl/pictures/X11117301_H_2.jpg" TargetMode="External" Type="http://schemas.openxmlformats.org/officeDocument/2006/relationships/hyperlink"/><Relationship Id="rId6" Target="https://flowerforce.nl/pictures/X10200986_H_1.jpg" TargetMode="External" Type="http://schemas.openxmlformats.org/officeDocument/2006/relationships/hyperlink"/><Relationship Id="rId60" Target="https://flowerforce.nl/pictures/X9343868_H_1.jpg" TargetMode="External" Type="http://schemas.openxmlformats.org/officeDocument/2006/relationships/hyperlink"/><Relationship Id="rId61" Target="https://flowerforce.nl/pictures/X11033046_H_1.jpg" TargetMode="External" Type="http://schemas.openxmlformats.org/officeDocument/2006/relationships/hyperlink"/><Relationship Id="rId62" Target="https://flowerforce.nl/pictures/X11100543_H_2.jpg" TargetMode="External" Type="http://schemas.openxmlformats.org/officeDocument/2006/relationships/hyperlink"/><Relationship Id="rId63" Target="https://flowerforce.nl/pictures/X10910978_H_1.jpg" TargetMode="External" Type="http://schemas.openxmlformats.org/officeDocument/2006/relationships/hyperlink"/><Relationship Id="rId64" Target="https://flowerforce.nl/pictures/X11118669_H_2.jpg" TargetMode="External" Type="http://schemas.openxmlformats.org/officeDocument/2006/relationships/hyperlink"/><Relationship Id="rId65" Target="https://flowerforce.nl/pictures/X11118676_H_1.jpg" TargetMode="External" Type="http://schemas.openxmlformats.org/officeDocument/2006/relationships/hyperlink"/><Relationship Id="rId66" Target="https://flowerforce.nl/pictures/X11118659_H_2.jpg" TargetMode="External" Type="http://schemas.openxmlformats.org/officeDocument/2006/relationships/hyperlink"/><Relationship Id="rId67" Target="https://flowerforce.nl/pictures/X11113856_V_1.jpg" TargetMode="External" Type="http://schemas.openxmlformats.org/officeDocument/2006/relationships/hyperlink"/><Relationship Id="rId68" Target="https://flowerforce.nl/pictures/X11118628_H_2.jpg" TargetMode="External" Type="http://schemas.openxmlformats.org/officeDocument/2006/relationships/hyperlink"/><Relationship Id="rId69" Target="https://flowerforce.nl/pictures/X11118623_H_2.jpg" TargetMode="External" Type="http://schemas.openxmlformats.org/officeDocument/2006/relationships/hyperlink"/><Relationship Id="rId7" Target="https://flowerforce.nl/pictures/X10177118_H_1.jpg" TargetMode="External" Type="http://schemas.openxmlformats.org/officeDocument/2006/relationships/hyperlink"/><Relationship Id="rId70" Target="https://flowerforce.nl/pictures/X11113655_H_1.jpg" TargetMode="External" Type="http://schemas.openxmlformats.org/officeDocument/2006/relationships/hyperlink"/><Relationship Id="rId71" Target="https://flowerforce.nl/pictures/X11110084_H_2.jpg" TargetMode="External" Type="http://schemas.openxmlformats.org/officeDocument/2006/relationships/hyperlink"/><Relationship Id="rId72" Target="https://flowerforce.nl/pictures/X11110088_H_2.jpg" TargetMode="External" Type="http://schemas.openxmlformats.org/officeDocument/2006/relationships/hyperlink"/><Relationship Id="rId73" Target="https://flowerforce.nl/pictures/X11113547_H_1.jpg" TargetMode="External" Type="http://schemas.openxmlformats.org/officeDocument/2006/relationships/hyperlink"/><Relationship Id="rId74" Target="https://flowerforce.nl/pictures/X11110095_H_2.jpg" TargetMode="External" Type="http://schemas.openxmlformats.org/officeDocument/2006/relationships/hyperlink"/><Relationship Id="rId75" Target="https://flowerforce.nl/pictures/X11110096_H_2.jpg" TargetMode="External" Type="http://schemas.openxmlformats.org/officeDocument/2006/relationships/hyperlink"/><Relationship Id="rId76" Target="https://flowerforce.nl/pictures/X11110087_H_2.jpg" TargetMode="External" Type="http://schemas.openxmlformats.org/officeDocument/2006/relationships/hyperlink"/><Relationship Id="rId77" Target="https://flowerforce.nl/pictures/X11110089_H_2.jpg" TargetMode="External" Type="http://schemas.openxmlformats.org/officeDocument/2006/relationships/hyperlink"/><Relationship Id="rId78" Target="https://flowerforce.nl/pictures/X11110094_H_2.jpg" TargetMode="External" Type="http://schemas.openxmlformats.org/officeDocument/2006/relationships/hyperlink"/><Relationship Id="rId79" Target="https://flowerforce.nl/pictures/X11113802_H_1.jpg" TargetMode="External" Type="http://schemas.openxmlformats.org/officeDocument/2006/relationships/hyperlink"/><Relationship Id="rId8" Target="https://flowerforce.nl/pictures/X10300193_H_1.jpg" TargetMode="External" Type="http://schemas.openxmlformats.org/officeDocument/2006/relationships/hyperlink"/><Relationship Id="rId80" Target="https://flowerforce.nl/pictures/X11110092_H_2.jpg" TargetMode="External" Type="http://schemas.openxmlformats.org/officeDocument/2006/relationships/hyperlink"/><Relationship Id="rId81" Target="https://flowerforce.nl/pictures/X11113844_H_2.jpg" TargetMode="External" Type="http://schemas.openxmlformats.org/officeDocument/2006/relationships/hyperlink"/><Relationship Id="rId82" Target="https://flowerforce.nl/pictures/X11113643_H_2.jpg" TargetMode="External" Type="http://schemas.openxmlformats.org/officeDocument/2006/relationships/hyperlink"/><Relationship Id="rId83" Target="https://flowerforce.nl/pictures/X11081805_H_2.jpg" TargetMode="External" Type="http://schemas.openxmlformats.org/officeDocument/2006/relationships/hyperlink"/><Relationship Id="rId84" Target="https://flowerforce.nl/pictures/X11113696_H_1.jpg" TargetMode="External" Type="http://schemas.openxmlformats.org/officeDocument/2006/relationships/hyperlink"/><Relationship Id="rId85" Target="https://flowerforce.nl/pictures/X11110090_H_2.jpg" TargetMode="External" Type="http://schemas.openxmlformats.org/officeDocument/2006/relationships/hyperlink"/><Relationship Id="rId86" Target="https://flowerforce.nl/pictures/X11110085_H_2.jpg" TargetMode="External" Type="http://schemas.openxmlformats.org/officeDocument/2006/relationships/hyperlink"/><Relationship Id="rId87" Target="https://flowerforce.nl/pictures/X11118730_H_1.jpg" TargetMode="External" Type="http://schemas.openxmlformats.org/officeDocument/2006/relationships/hyperlink"/><Relationship Id="rId88" Target="https://flowerforce.nl/pictures/X11118625_H_2.jpg" TargetMode="External" Type="http://schemas.openxmlformats.org/officeDocument/2006/relationships/hyperlink"/><Relationship Id="rId89" Target="https://flowerforce.nl/pictures/X11113744_H_2.jpg" TargetMode="External" Type="http://schemas.openxmlformats.org/officeDocument/2006/relationships/hyperlink"/><Relationship Id="rId9" Target="https://flowerforce.nl/pictures/X11100425_H_1.jpg" TargetMode="External" Type="http://schemas.openxmlformats.org/officeDocument/2006/relationships/hyperlink"/><Relationship Id="rId90" Target="https://flowerforce.nl/pictures/X11110091_H_2.jpg" TargetMode="External" Type="http://schemas.openxmlformats.org/officeDocument/2006/relationships/hyperlink"/><Relationship Id="rId91" Target="https://flowerforce.nl/pictures/X11081503_H_2.jpg" TargetMode="External" Type="http://schemas.openxmlformats.org/officeDocument/2006/relationships/hyperlink"/><Relationship Id="rId92" Target="https://flowerforce.nl/pictures/X11110086_H_2.jpg" TargetMode="External" Type="http://schemas.openxmlformats.org/officeDocument/2006/relationships/hyperlink"/><Relationship Id="rId93" Target="https://flowerforce.nl/pictures/X11110093_H_2.jpg" TargetMode="External" Type="http://schemas.openxmlformats.org/officeDocument/2006/relationships/hyperlink"/><Relationship Id="rId94" Target="https://flowerforce.nl/pictures/X10894410_H_1.jpg" TargetMode="External" Type="http://schemas.openxmlformats.org/officeDocument/2006/relationships/hyperlink"/><Relationship Id="rId95" Target="https://flowerforce.nl/pictures/X11118624_V_2.jpg" TargetMode="External" Type="http://schemas.openxmlformats.org/officeDocument/2006/relationships/hyperlink"/><Relationship Id="rId96" Target="https://flowerforce.nl/pictures/X11100544_H_2.jpg" TargetMode="External" Type="http://schemas.openxmlformats.org/officeDocument/2006/relationships/hyperlink"/><Relationship Id="rId97" Target="https://flowerforce.nl/pictures/X11119058_H_1.jpg" TargetMode="External" Type="http://schemas.openxmlformats.org/officeDocument/2006/relationships/hyperlink"/><Relationship Id="rId98" Target="https://flowerforce.nl/pictures/X11119155_H_2.jpg" TargetMode="External" Type="http://schemas.openxmlformats.org/officeDocument/2006/relationships/hyperlink"/><Relationship Id="rId99" Target="https://flowerforce.nl/pictures/X11119177_H_2.jpg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1"/>
  <sheetViews>
    <sheetView tabSelected="1" zoomScale="85" zoomScaleNormal="85" workbookViewId="0">
      <selection activeCell="B3" sqref="B3:B26"/>
    </sheetView>
  </sheetViews>
  <sheetFormatPr defaultRowHeight="13.2" x14ac:dyDescent="0.25"/>
  <cols>
    <col min="2" max="2" width="43" bestFit="1" customWidth="1"/>
    <col min="3" max="3" width="8.88671875" customWidth="1"/>
    <col min="4" max="4" width="8.88671875" style="21" customWidth="1"/>
    <col min="5" max="8" width="0" hidden="1" customWidth="1"/>
    <col min="248" max="248" width="43" bestFit="1" customWidth="1"/>
    <col min="259" max="259" width="9.109375" customWidth="1"/>
    <col min="260" max="260" width="8.88671875" customWidth="1"/>
    <col min="504" max="504" width="43" bestFit="1" customWidth="1"/>
    <col min="515" max="515" width="9.109375" customWidth="1"/>
    <col min="516" max="516" width="8.88671875" customWidth="1"/>
    <col min="760" max="760" width="43" bestFit="1" customWidth="1"/>
    <col min="771" max="771" width="9.109375" customWidth="1"/>
    <col min="772" max="772" width="8.88671875" customWidth="1"/>
    <col min="1016" max="1016" width="43" bestFit="1" customWidth="1"/>
    <col min="1027" max="1027" width="9.109375" customWidth="1"/>
    <col min="1028" max="1028" width="8.88671875" customWidth="1"/>
    <col min="1272" max="1272" width="43" bestFit="1" customWidth="1"/>
    <col min="1283" max="1283" width="9.109375" customWidth="1"/>
    <col min="1284" max="1284" width="8.88671875" customWidth="1"/>
    <col min="1528" max="1528" width="43" bestFit="1" customWidth="1"/>
    <col min="1539" max="1539" width="9.109375" customWidth="1"/>
    <col min="1540" max="1540" width="8.88671875" customWidth="1"/>
    <col min="1784" max="1784" width="43" bestFit="1" customWidth="1"/>
    <col min="1795" max="1795" width="9.109375" customWidth="1"/>
    <col min="1796" max="1796" width="8.88671875" customWidth="1"/>
    <col min="2040" max="2040" width="43" bestFit="1" customWidth="1"/>
    <col min="2051" max="2051" width="9.109375" customWidth="1"/>
    <col min="2052" max="2052" width="8.88671875" customWidth="1"/>
    <col min="2296" max="2296" width="43" bestFit="1" customWidth="1"/>
    <col min="2307" max="2307" width="9.109375" customWidth="1"/>
    <col min="2308" max="2308" width="8.88671875" customWidth="1"/>
    <col min="2552" max="2552" width="43" bestFit="1" customWidth="1"/>
    <col min="2563" max="2563" width="9.109375" customWidth="1"/>
    <col min="2564" max="2564" width="8.88671875" customWidth="1"/>
    <col min="2808" max="2808" width="43" bestFit="1" customWidth="1"/>
    <col min="2819" max="2819" width="9.109375" customWidth="1"/>
    <col min="2820" max="2820" width="8.88671875" customWidth="1"/>
    <col min="3064" max="3064" width="43" bestFit="1" customWidth="1"/>
    <col min="3075" max="3075" width="9.109375" customWidth="1"/>
    <col min="3076" max="3076" width="8.88671875" customWidth="1"/>
    <col min="3320" max="3320" width="43" bestFit="1" customWidth="1"/>
    <col min="3331" max="3331" width="9.109375" customWidth="1"/>
    <col min="3332" max="3332" width="8.88671875" customWidth="1"/>
    <col min="3576" max="3576" width="43" bestFit="1" customWidth="1"/>
    <col min="3587" max="3587" width="9.109375" customWidth="1"/>
    <col min="3588" max="3588" width="8.88671875" customWidth="1"/>
    <col min="3832" max="3832" width="43" bestFit="1" customWidth="1"/>
    <col min="3843" max="3843" width="9.109375" customWidth="1"/>
    <col min="3844" max="3844" width="8.88671875" customWidth="1"/>
    <col min="4088" max="4088" width="43" bestFit="1" customWidth="1"/>
    <col min="4099" max="4099" width="9.109375" customWidth="1"/>
    <col min="4100" max="4100" width="8.88671875" customWidth="1"/>
    <col min="4344" max="4344" width="43" bestFit="1" customWidth="1"/>
    <col min="4355" max="4355" width="9.109375" customWidth="1"/>
    <col min="4356" max="4356" width="8.88671875" customWidth="1"/>
    <col min="4600" max="4600" width="43" bestFit="1" customWidth="1"/>
    <col min="4611" max="4611" width="9.109375" customWidth="1"/>
    <col min="4612" max="4612" width="8.88671875" customWidth="1"/>
    <col min="4856" max="4856" width="43" bestFit="1" customWidth="1"/>
    <col min="4867" max="4867" width="9.109375" customWidth="1"/>
    <col min="4868" max="4868" width="8.88671875" customWidth="1"/>
    <col min="5112" max="5112" width="43" bestFit="1" customWidth="1"/>
    <col min="5123" max="5123" width="9.109375" customWidth="1"/>
    <col min="5124" max="5124" width="8.88671875" customWidth="1"/>
    <col min="5368" max="5368" width="43" bestFit="1" customWidth="1"/>
    <col min="5379" max="5379" width="9.109375" customWidth="1"/>
    <col min="5380" max="5380" width="8.88671875" customWidth="1"/>
    <col min="5624" max="5624" width="43" bestFit="1" customWidth="1"/>
    <col min="5635" max="5635" width="9.109375" customWidth="1"/>
    <col min="5636" max="5636" width="8.88671875" customWidth="1"/>
    <col min="5880" max="5880" width="43" bestFit="1" customWidth="1"/>
    <col min="5891" max="5891" width="9.109375" customWidth="1"/>
    <col min="5892" max="5892" width="8.88671875" customWidth="1"/>
    <col min="6136" max="6136" width="43" bestFit="1" customWidth="1"/>
    <col min="6147" max="6147" width="9.109375" customWidth="1"/>
    <col min="6148" max="6148" width="8.88671875" customWidth="1"/>
    <col min="6392" max="6392" width="43" bestFit="1" customWidth="1"/>
    <col min="6403" max="6403" width="9.109375" customWidth="1"/>
    <col min="6404" max="6404" width="8.88671875" customWidth="1"/>
    <col min="6648" max="6648" width="43" bestFit="1" customWidth="1"/>
    <col min="6659" max="6659" width="9.109375" customWidth="1"/>
    <col min="6660" max="6660" width="8.88671875" customWidth="1"/>
    <col min="6904" max="6904" width="43" bestFit="1" customWidth="1"/>
    <col min="6915" max="6915" width="9.109375" customWidth="1"/>
    <col min="6916" max="6916" width="8.88671875" customWidth="1"/>
    <col min="7160" max="7160" width="43" bestFit="1" customWidth="1"/>
    <col min="7171" max="7171" width="9.109375" customWidth="1"/>
    <col min="7172" max="7172" width="8.88671875" customWidth="1"/>
    <col min="7416" max="7416" width="43" bestFit="1" customWidth="1"/>
    <col min="7427" max="7427" width="9.109375" customWidth="1"/>
    <col min="7428" max="7428" width="8.88671875" customWidth="1"/>
    <col min="7672" max="7672" width="43" bestFit="1" customWidth="1"/>
    <col min="7683" max="7683" width="9.109375" customWidth="1"/>
    <col min="7684" max="7684" width="8.88671875" customWidth="1"/>
    <col min="7928" max="7928" width="43" bestFit="1" customWidth="1"/>
    <col min="7939" max="7939" width="9.109375" customWidth="1"/>
    <col min="7940" max="7940" width="8.88671875" customWidth="1"/>
    <col min="8184" max="8184" width="43" bestFit="1" customWidth="1"/>
    <col min="8195" max="8195" width="9.109375" customWidth="1"/>
    <col min="8196" max="8196" width="8.88671875" customWidth="1"/>
    <col min="8440" max="8440" width="43" bestFit="1" customWidth="1"/>
    <col min="8451" max="8451" width="9.109375" customWidth="1"/>
    <col min="8452" max="8452" width="8.88671875" customWidth="1"/>
    <col min="8696" max="8696" width="43" bestFit="1" customWidth="1"/>
    <col min="8707" max="8707" width="9.109375" customWidth="1"/>
    <col min="8708" max="8708" width="8.88671875" customWidth="1"/>
    <col min="8952" max="8952" width="43" bestFit="1" customWidth="1"/>
    <col min="8963" max="8963" width="9.109375" customWidth="1"/>
    <col min="8964" max="8964" width="8.88671875" customWidth="1"/>
    <col min="9208" max="9208" width="43" bestFit="1" customWidth="1"/>
    <col min="9219" max="9219" width="9.109375" customWidth="1"/>
    <col min="9220" max="9220" width="8.88671875" customWidth="1"/>
    <col min="9464" max="9464" width="43" bestFit="1" customWidth="1"/>
    <col min="9475" max="9475" width="9.109375" customWidth="1"/>
    <col min="9476" max="9476" width="8.88671875" customWidth="1"/>
    <col min="9720" max="9720" width="43" bestFit="1" customWidth="1"/>
    <col min="9731" max="9731" width="9.109375" customWidth="1"/>
    <col min="9732" max="9732" width="8.88671875" customWidth="1"/>
    <col min="9976" max="9976" width="43" bestFit="1" customWidth="1"/>
    <col min="9987" max="9987" width="9.109375" customWidth="1"/>
    <col min="9988" max="9988" width="8.88671875" customWidth="1"/>
    <col min="10232" max="10232" width="43" bestFit="1" customWidth="1"/>
    <col min="10243" max="10243" width="9.109375" customWidth="1"/>
    <col min="10244" max="10244" width="8.88671875" customWidth="1"/>
    <col min="10488" max="10488" width="43" bestFit="1" customWidth="1"/>
    <col min="10499" max="10499" width="9.109375" customWidth="1"/>
    <col min="10500" max="10500" width="8.88671875" customWidth="1"/>
    <col min="10744" max="10744" width="43" bestFit="1" customWidth="1"/>
    <col min="10755" max="10755" width="9.109375" customWidth="1"/>
    <col min="10756" max="10756" width="8.88671875" customWidth="1"/>
    <col min="11000" max="11000" width="43" bestFit="1" customWidth="1"/>
    <col min="11011" max="11011" width="9.109375" customWidth="1"/>
    <col min="11012" max="11012" width="8.88671875" customWidth="1"/>
    <col min="11256" max="11256" width="43" bestFit="1" customWidth="1"/>
    <col min="11267" max="11267" width="9.109375" customWidth="1"/>
    <col min="11268" max="11268" width="8.88671875" customWidth="1"/>
    <col min="11512" max="11512" width="43" bestFit="1" customWidth="1"/>
    <col min="11523" max="11523" width="9.109375" customWidth="1"/>
    <col min="11524" max="11524" width="8.88671875" customWidth="1"/>
    <col min="11768" max="11768" width="43" bestFit="1" customWidth="1"/>
    <col min="11779" max="11779" width="9.109375" customWidth="1"/>
    <col min="11780" max="11780" width="8.88671875" customWidth="1"/>
    <col min="12024" max="12024" width="43" bestFit="1" customWidth="1"/>
    <col min="12035" max="12035" width="9.109375" customWidth="1"/>
    <col min="12036" max="12036" width="8.88671875" customWidth="1"/>
    <col min="12280" max="12280" width="43" bestFit="1" customWidth="1"/>
    <col min="12291" max="12291" width="9.109375" customWidth="1"/>
    <col min="12292" max="12292" width="8.88671875" customWidth="1"/>
    <col min="12536" max="12536" width="43" bestFit="1" customWidth="1"/>
    <col min="12547" max="12547" width="9.109375" customWidth="1"/>
    <col min="12548" max="12548" width="8.88671875" customWidth="1"/>
    <col min="12792" max="12792" width="43" bestFit="1" customWidth="1"/>
    <col min="12803" max="12803" width="9.109375" customWidth="1"/>
    <col min="12804" max="12804" width="8.88671875" customWidth="1"/>
    <col min="13048" max="13048" width="43" bestFit="1" customWidth="1"/>
    <col min="13059" max="13059" width="9.109375" customWidth="1"/>
    <col min="13060" max="13060" width="8.88671875" customWidth="1"/>
    <col min="13304" max="13304" width="43" bestFit="1" customWidth="1"/>
    <col min="13315" max="13315" width="9.109375" customWidth="1"/>
    <col min="13316" max="13316" width="8.88671875" customWidth="1"/>
    <col min="13560" max="13560" width="43" bestFit="1" customWidth="1"/>
    <col min="13571" max="13571" width="9.109375" customWidth="1"/>
    <col min="13572" max="13572" width="8.88671875" customWidth="1"/>
    <col min="13816" max="13816" width="43" bestFit="1" customWidth="1"/>
    <col min="13827" max="13827" width="9.109375" customWidth="1"/>
    <col min="13828" max="13828" width="8.88671875" customWidth="1"/>
    <col min="14072" max="14072" width="43" bestFit="1" customWidth="1"/>
    <col min="14083" max="14083" width="9.109375" customWidth="1"/>
    <col min="14084" max="14084" width="8.88671875" customWidth="1"/>
    <col min="14328" max="14328" width="43" bestFit="1" customWidth="1"/>
    <col min="14339" max="14339" width="9.109375" customWidth="1"/>
    <col min="14340" max="14340" width="8.88671875" customWidth="1"/>
    <col min="14584" max="14584" width="43" bestFit="1" customWidth="1"/>
    <col min="14595" max="14595" width="9.109375" customWidth="1"/>
    <col min="14596" max="14596" width="8.88671875" customWidth="1"/>
    <col min="14840" max="14840" width="43" bestFit="1" customWidth="1"/>
    <col min="14851" max="14851" width="9.109375" customWidth="1"/>
    <col min="14852" max="14852" width="8.88671875" customWidth="1"/>
    <col min="15096" max="15096" width="43" bestFit="1" customWidth="1"/>
    <col min="15107" max="15107" width="9.109375" customWidth="1"/>
    <col min="15108" max="15108" width="8.88671875" customWidth="1"/>
    <col min="15352" max="15352" width="43" bestFit="1" customWidth="1"/>
    <col min="15363" max="15363" width="9.109375" customWidth="1"/>
    <col min="15364" max="15364" width="8.88671875" customWidth="1"/>
    <col min="15608" max="15608" width="43" bestFit="1" customWidth="1"/>
    <col min="15619" max="15619" width="9.109375" customWidth="1"/>
    <col min="15620" max="15620" width="8.88671875" customWidth="1"/>
    <col min="15864" max="15864" width="43" bestFit="1" customWidth="1"/>
    <col min="15875" max="15875" width="9.109375" customWidth="1"/>
    <col min="15876" max="15876" width="8.88671875" customWidth="1"/>
    <col min="16120" max="16120" width="43" bestFit="1" customWidth="1"/>
    <col min="16131" max="16131" width="9.109375" customWidth="1"/>
    <col min="16132" max="16132" width="8.88671875" customWidth="1"/>
  </cols>
  <sheetData>
    <row r="1" spans="1:10" ht="15.6" x14ac:dyDescent="0.3">
      <c r="A1" s="1"/>
      <c r="B1" s="1"/>
      <c r="C1" s="1"/>
      <c r="D1" s="2">
        <v>2.91</v>
      </c>
      <c r="E1" s="3"/>
      <c r="F1" s="1"/>
      <c r="G1" s="1"/>
      <c r="H1" s="1"/>
    </row>
    <row r="2" spans="1:10" ht="15.6" x14ac:dyDescent="0.3">
      <c r="A2" s="1"/>
      <c r="B2" s="4" t="s">
        <v>0</v>
      </c>
      <c r="C2" s="4" t="s">
        <v>1</v>
      </c>
      <c r="D2" s="5" t="s">
        <v>2</v>
      </c>
      <c r="E2" s="6" t="s">
        <v>3</v>
      </c>
      <c r="F2" s="1"/>
      <c r="G2" s="1"/>
      <c r="H2" s="1"/>
    </row>
    <row r="3" spans="1:10" ht="15.6" x14ac:dyDescent="0.3">
      <c r="A3" s="7">
        <f>[1]Лист4!A6</f>
        <v>1</v>
      </c>
      <c r="B3" s="8" t="s">
        <v>314</v>
      </c>
      <c r="C3" s="9">
        <v>90</v>
      </c>
      <c r="D3" s="11">
        <v>4.8099999999999996</v>
      </c>
      <c r="E3" s="11">
        <f t="shared" ref="E3:E32" si="0">ROUNDUP(D3*0.88,2)</f>
        <v>4.24</v>
      </c>
      <c r="F3" s="10" t="e">
        <f>#REF!*C3</f>
        <v>#REF!</v>
      </c>
      <c r="G3" s="12" t="e">
        <f>#REF!*C3</f>
        <v>#REF!</v>
      </c>
      <c r="H3" s="12" t="e">
        <f t="shared" ref="H3:H32" si="1">G3-F3</f>
        <v>#REF!</v>
      </c>
      <c r="J3" s="13" t="s">
        <v>16</v>
      </c>
    </row>
    <row r="4" spans="1:10" ht="15.6" x14ac:dyDescent="0.3">
      <c r="A4" s="7">
        <f>[1]Лист4!A28</f>
        <v>1</v>
      </c>
      <c r="B4" s="8" t="s">
        <v>327</v>
      </c>
      <c r="C4" s="9">
        <v>40</v>
      </c>
      <c r="D4" s="11">
        <v>16.830000000000002</v>
      </c>
      <c r="E4" s="11">
        <f t="shared" si="0"/>
        <v>14.82</v>
      </c>
      <c r="F4" s="10" t="e">
        <f>#REF!*C4</f>
        <v>#REF!</v>
      </c>
      <c r="G4" s="12" t="e">
        <f>#REF!*C4</f>
        <v>#REF!</v>
      </c>
      <c r="H4" s="12" t="e">
        <f t="shared" si="1"/>
        <v>#REF!</v>
      </c>
      <c r="J4" s="13" t="s">
        <v>17</v>
      </c>
    </row>
    <row r="5" spans="1:10" ht="15.6" x14ac:dyDescent="0.3">
      <c r="A5" s="7">
        <f>[1]Лист4!A25</f>
        <v>1</v>
      </c>
      <c r="B5" s="8" t="s">
        <v>316</v>
      </c>
      <c r="C5" s="9">
        <v>200</v>
      </c>
      <c r="D5" s="11">
        <v>6.46</v>
      </c>
      <c r="E5" s="11">
        <f t="shared" si="0"/>
        <v>5.6899999999999995</v>
      </c>
      <c r="F5" s="10" t="e">
        <f>#REF!*C5</f>
        <v>#REF!</v>
      </c>
      <c r="G5" s="12" t="e">
        <f>#REF!*C5</f>
        <v>#REF!</v>
      </c>
      <c r="H5" s="12" t="e">
        <f t="shared" si="1"/>
        <v>#REF!</v>
      </c>
      <c r="J5" s="13" t="s">
        <v>18</v>
      </c>
    </row>
    <row r="6" spans="1:10" ht="15.6" x14ac:dyDescent="0.3">
      <c r="A6" s="7">
        <f>[1]Лист4!A37</f>
        <v>1</v>
      </c>
      <c r="B6" s="8" t="s">
        <v>316</v>
      </c>
      <c r="C6" s="9">
        <v>50</v>
      </c>
      <c r="D6" s="11">
        <v>7.63</v>
      </c>
      <c r="E6" s="11">
        <f t="shared" si="0"/>
        <v>6.72</v>
      </c>
      <c r="F6" s="10" t="e">
        <f>#REF!*C6</f>
        <v>#REF!</v>
      </c>
      <c r="G6" s="12" t="e">
        <f>#REF!*C6</f>
        <v>#REF!</v>
      </c>
      <c r="H6" s="12" t="e">
        <f t="shared" si="1"/>
        <v>#REF!</v>
      </c>
      <c r="J6" s="13" t="s">
        <v>18</v>
      </c>
    </row>
    <row r="7" spans="1:10" ht="15.6" x14ac:dyDescent="0.3">
      <c r="A7" s="7">
        <f>[1]Лист4!A7</f>
        <v>1</v>
      </c>
      <c r="B7" s="8" t="s">
        <v>315</v>
      </c>
      <c r="C7" s="9">
        <v>250</v>
      </c>
      <c r="D7" s="11">
        <v>3.9299999999999997</v>
      </c>
      <c r="E7" s="11">
        <f t="shared" si="0"/>
        <v>3.46</v>
      </c>
      <c r="F7" s="10" t="e">
        <f>#REF!*C7</f>
        <v>#REF!</v>
      </c>
      <c r="G7" s="12" t="e">
        <f>#REF!*C7</f>
        <v>#REF!</v>
      </c>
      <c r="H7" s="12" t="e">
        <f t="shared" si="1"/>
        <v>#REF!</v>
      </c>
      <c r="J7" s="13" t="s">
        <v>19</v>
      </c>
    </row>
    <row r="8" spans="1:10" ht="15.6" x14ac:dyDescent="0.3">
      <c r="A8" s="7">
        <f>[1]Лист4!A15</f>
        <v>1</v>
      </c>
      <c r="B8" s="8" t="s">
        <v>315</v>
      </c>
      <c r="C8" s="9">
        <v>100</v>
      </c>
      <c r="D8" s="11">
        <v>4.37</v>
      </c>
      <c r="E8" s="11">
        <f t="shared" si="0"/>
        <v>3.8499999999999996</v>
      </c>
      <c r="F8" s="10" t="e">
        <f>#REF!*C8</f>
        <v>#REF!</v>
      </c>
      <c r="G8" s="12" t="e">
        <f>#REF!*C8</f>
        <v>#REF!</v>
      </c>
      <c r="H8" s="12" t="e">
        <f t="shared" si="1"/>
        <v>#REF!</v>
      </c>
      <c r="J8" s="13" t="s">
        <v>19</v>
      </c>
    </row>
    <row r="9" spans="1:10" ht="15.6" x14ac:dyDescent="0.3">
      <c r="A9" s="7">
        <f>[1]Лист4!A29</f>
        <v>1</v>
      </c>
      <c r="B9" s="8" t="s">
        <v>328</v>
      </c>
      <c r="C9" s="9">
        <v>60</v>
      </c>
      <c r="D9" s="11">
        <v>11.94</v>
      </c>
      <c r="E9" s="11">
        <f t="shared" si="0"/>
        <v>10.51</v>
      </c>
      <c r="F9" s="10" t="e">
        <f>#REF!*C9</f>
        <v>#REF!</v>
      </c>
      <c r="G9" s="12" t="e">
        <f>#REF!*C9</f>
        <v>#REF!</v>
      </c>
      <c r="H9" s="12" t="e">
        <f t="shared" si="1"/>
        <v>#REF!</v>
      </c>
      <c r="J9" s="13" t="s">
        <v>20</v>
      </c>
    </row>
    <row r="10" spans="1:10" ht="15.6" x14ac:dyDescent="0.3">
      <c r="A10" s="7">
        <f>[1]Лист4!A31</f>
        <v>1</v>
      </c>
      <c r="B10" s="8" t="s">
        <v>329</v>
      </c>
      <c r="C10" s="9">
        <v>90</v>
      </c>
      <c r="D10" s="11">
        <v>6.41</v>
      </c>
      <c r="E10" s="11">
        <f t="shared" si="0"/>
        <v>5.6499999999999995</v>
      </c>
      <c r="F10" s="10" t="e">
        <f>#REF!*C10</f>
        <v>#REF!</v>
      </c>
      <c r="G10" s="12" t="e">
        <f>#REF!*C10</f>
        <v>#REF!</v>
      </c>
      <c r="H10" s="12" t="e">
        <f t="shared" si="1"/>
        <v>#REF!</v>
      </c>
      <c r="J10" s="13" t="s">
        <v>21</v>
      </c>
    </row>
    <row r="11" spans="1:10" ht="15.6" x14ac:dyDescent="0.3">
      <c r="A11" s="7">
        <f>[1]Лист4!A14</f>
        <v>1</v>
      </c>
      <c r="B11" s="8" t="s">
        <v>317</v>
      </c>
      <c r="C11" s="9">
        <v>80</v>
      </c>
      <c r="D11" s="11">
        <v>5.8199999999999994</v>
      </c>
      <c r="E11" s="11">
        <f t="shared" si="0"/>
        <v>5.13</v>
      </c>
      <c r="F11" s="10" t="e">
        <f>#REF!*C11</f>
        <v>#REF!</v>
      </c>
      <c r="G11" s="12" t="e">
        <f>#REF!*C11</f>
        <v>#REF!</v>
      </c>
      <c r="H11" s="12" t="e">
        <f t="shared" si="1"/>
        <v>#REF!</v>
      </c>
      <c r="J11" s="13" t="s">
        <v>22</v>
      </c>
    </row>
    <row r="12" spans="1:10" ht="15.6" x14ac:dyDescent="0.3">
      <c r="A12" s="7">
        <f>[1]Лист4!A18</f>
        <v>1</v>
      </c>
      <c r="B12" s="8" t="s">
        <v>318</v>
      </c>
      <c r="C12" s="9">
        <v>630</v>
      </c>
      <c r="D12" s="11">
        <v>5.2799999999999994</v>
      </c>
      <c r="E12" s="11">
        <f t="shared" si="0"/>
        <v>4.6499999999999995</v>
      </c>
      <c r="F12" s="10" t="e">
        <f>#REF!*C12</f>
        <v>#REF!</v>
      </c>
      <c r="G12" s="12" t="e">
        <f>#REF!*C12</f>
        <v>#REF!</v>
      </c>
      <c r="H12" s="12" t="e">
        <f t="shared" si="1"/>
        <v>#REF!</v>
      </c>
      <c r="J12" s="13" t="s">
        <v>23</v>
      </c>
    </row>
    <row r="13" spans="1:10" ht="15.6" x14ac:dyDescent="0.3">
      <c r="A13" s="7">
        <f>[1]Лист4!A32</f>
        <v>1</v>
      </c>
      <c r="B13" s="8" t="s">
        <v>330</v>
      </c>
      <c r="C13" s="9">
        <v>220</v>
      </c>
      <c r="D13" s="11">
        <v>5.2799999999999994</v>
      </c>
      <c r="E13" s="11">
        <f t="shared" si="0"/>
        <v>4.6499999999999995</v>
      </c>
      <c r="F13" s="10" t="e">
        <f>#REF!*C13</f>
        <v>#REF!</v>
      </c>
      <c r="G13" s="12" t="e">
        <f>#REF!*C13</f>
        <v>#REF!</v>
      </c>
      <c r="H13" s="12" t="e">
        <f t="shared" si="1"/>
        <v>#REF!</v>
      </c>
      <c r="J13" s="13" t="s">
        <v>24</v>
      </c>
    </row>
    <row r="14" spans="1:10" ht="15.6" x14ac:dyDescent="0.3">
      <c r="A14" s="7">
        <f>[1]Лист4!A17</f>
        <v>1</v>
      </c>
      <c r="B14" s="8" t="s">
        <v>319</v>
      </c>
      <c r="C14" s="9">
        <v>150</v>
      </c>
      <c r="D14" s="11">
        <v>5.6899999999999995</v>
      </c>
      <c r="E14" s="11">
        <f t="shared" si="0"/>
        <v>5.01</v>
      </c>
      <c r="F14" s="10" t="e">
        <f>#REF!*C14</f>
        <v>#REF!</v>
      </c>
      <c r="G14" s="12" t="e">
        <f>#REF!*C14</f>
        <v>#REF!</v>
      </c>
      <c r="H14" s="12" t="e">
        <f t="shared" si="1"/>
        <v>#REF!</v>
      </c>
      <c r="J14" s="13" t="s">
        <v>25</v>
      </c>
    </row>
    <row r="15" spans="1:10" ht="15.6" x14ac:dyDescent="0.3">
      <c r="A15" s="7">
        <f>[1]Лист4!A19</f>
        <v>1</v>
      </c>
      <c r="B15" s="8" t="s">
        <v>320</v>
      </c>
      <c r="C15" s="9">
        <v>60</v>
      </c>
      <c r="D15" s="11">
        <v>13.1</v>
      </c>
      <c r="E15" s="11">
        <f t="shared" si="0"/>
        <v>11.53</v>
      </c>
      <c r="F15" s="10" t="e">
        <f>#REF!*C15</f>
        <v>#REF!</v>
      </c>
      <c r="G15" s="12" t="e">
        <f>#REF!*C15</f>
        <v>#REF!</v>
      </c>
      <c r="H15" s="12" t="e">
        <f t="shared" si="1"/>
        <v>#REF!</v>
      </c>
      <c r="J15" s="13" t="s">
        <v>26</v>
      </c>
    </row>
    <row r="16" spans="1:10" ht="15.6" x14ac:dyDescent="0.3">
      <c r="A16" s="7">
        <f>[1]Лист4!A33</f>
        <v>1</v>
      </c>
      <c r="B16" s="8" t="s">
        <v>320</v>
      </c>
      <c r="C16" s="9">
        <v>60</v>
      </c>
      <c r="D16" s="11">
        <v>8.73</v>
      </c>
      <c r="E16" s="11">
        <f t="shared" si="0"/>
        <v>7.6899999999999995</v>
      </c>
      <c r="F16" s="10" t="e">
        <f>#REF!*C16</f>
        <v>#REF!</v>
      </c>
      <c r="G16" s="12" t="e">
        <f>#REF!*C16</f>
        <v>#REF!</v>
      </c>
      <c r="H16" s="12" t="e">
        <f t="shared" si="1"/>
        <v>#REF!</v>
      </c>
      <c r="J16" s="13" t="s">
        <v>26</v>
      </c>
    </row>
    <row r="17" spans="1:10" ht="15.6" x14ac:dyDescent="0.3">
      <c r="A17" s="7">
        <f>[1]Лист4!A20</f>
        <v>1</v>
      </c>
      <c r="B17" s="8" t="s">
        <v>321</v>
      </c>
      <c r="C17" s="9">
        <v>180</v>
      </c>
      <c r="D17" s="11">
        <v>4.5199999999999996</v>
      </c>
      <c r="E17" s="11">
        <f t="shared" si="0"/>
        <v>3.98</v>
      </c>
      <c r="F17" s="10" t="e">
        <f>#REF!*C17</f>
        <v>#REF!</v>
      </c>
      <c r="G17" s="12" t="e">
        <f>#REF!*C17</f>
        <v>#REF!</v>
      </c>
      <c r="H17" s="12" t="e">
        <f t="shared" si="1"/>
        <v>#REF!</v>
      </c>
      <c r="J17" s="13" t="s">
        <v>27</v>
      </c>
    </row>
    <row r="18" spans="1:10" ht="15.6" x14ac:dyDescent="0.3">
      <c r="A18" s="7">
        <f>[1]Лист4!A21</f>
        <v>1</v>
      </c>
      <c r="B18" s="8" t="s">
        <v>322</v>
      </c>
      <c r="C18" s="9">
        <v>40</v>
      </c>
      <c r="D18" s="11">
        <v>3.57</v>
      </c>
      <c r="E18" s="11">
        <f t="shared" si="0"/>
        <v>3.15</v>
      </c>
      <c r="F18" s="10" t="e">
        <f>#REF!*C18</f>
        <v>#REF!</v>
      </c>
      <c r="G18" s="12" t="e">
        <f>#REF!*C18</f>
        <v>#REF!</v>
      </c>
      <c r="H18" s="12" t="e">
        <f t="shared" si="1"/>
        <v>#REF!</v>
      </c>
      <c r="J18" s="13" t="s">
        <v>28</v>
      </c>
    </row>
    <row r="19" spans="1:10" ht="15.6" x14ac:dyDescent="0.3">
      <c r="A19" s="7">
        <f>[1]Лист4!A35</f>
        <v>1</v>
      </c>
      <c r="B19" s="8" t="s">
        <v>331</v>
      </c>
      <c r="C19" s="9">
        <v>150</v>
      </c>
      <c r="D19" s="11">
        <v>6.14</v>
      </c>
      <c r="E19" s="11">
        <f t="shared" si="0"/>
        <v>5.41</v>
      </c>
      <c r="F19" s="10" t="e">
        <f>#REF!*C19</f>
        <v>#REF!</v>
      </c>
      <c r="G19" s="12" t="e">
        <f>#REF!*C19</f>
        <v>#REF!</v>
      </c>
      <c r="H19" s="12" t="e">
        <f t="shared" si="1"/>
        <v>#REF!</v>
      </c>
      <c r="J19" s="13" t="s">
        <v>29</v>
      </c>
    </row>
    <row r="20" spans="1:10" ht="15.6" x14ac:dyDescent="0.3">
      <c r="A20" s="7">
        <f>[1]Лист4!A23</f>
        <v>1</v>
      </c>
      <c r="B20" s="8" t="s">
        <v>323</v>
      </c>
      <c r="C20" s="9">
        <v>420</v>
      </c>
      <c r="D20" s="11">
        <v>5.6899999999999995</v>
      </c>
      <c r="E20" s="11">
        <f t="shared" si="0"/>
        <v>5.01</v>
      </c>
      <c r="F20" s="10" t="e">
        <f>#REF!*C20</f>
        <v>#REF!</v>
      </c>
      <c r="G20" s="12" t="e">
        <f>#REF!*C20</f>
        <v>#REF!</v>
      </c>
      <c r="H20" s="12" t="e">
        <f t="shared" si="1"/>
        <v>#REF!</v>
      </c>
      <c r="J20" s="13" t="s">
        <v>30</v>
      </c>
    </row>
    <row r="21" spans="1:10" ht="15.6" x14ac:dyDescent="0.3">
      <c r="A21" s="7">
        <f>[1]Лист4!A24</f>
        <v>1</v>
      </c>
      <c r="B21" s="8" t="s">
        <v>324</v>
      </c>
      <c r="C21" s="9">
        <v>120</v>
      </c>
      <c r="D21" s="11">
        <v>5.37</v>
      </c>
      <c r="E21" s="11">
        <f t="shared" si="0"/>
        <v>4.7299999999999995</v>
      </c>
      <c r="F21" s="10" t="e">
        <f>#REF!*C21</f>
        <v>#REF!</v>
      </c>
      <c r="G21" s="12" t="e">
        <f>#REF!*C21</f>
        <v>#REF!</v>
      </c>
      <c r="H21" s="12" t="e">
        <f t="shared" si="1"/>
        <v>#REF!</v>
      </c>
      <c r="J21" s="13" t="s">
        <v>31</v>
      </c>
    </row>
    <row r="22" spans="1:10" ht="15.6" x14ac:dyDescent="0.3">
      <c r="A22" s="7">
        <f>[1]Лист4!A36</f>
        <v>1</v>
      </c>
      <c r="B22" s="8" t="s">
        <v>332</v>
      </c>
      <c r="C22" s="9">
        <v>40</v>
      </c>
      <c r="D22" s="11">
        <v>11.15</v>
      </c>
      <c r="E22" s="11">
        <f t="shared" si="0"/>
        <v>9.82</v>
      </c>
      <c r="F22" s="10" t="e">
        <f>#REF!*C22</f>
        <v>#REF!</v>
      </c>
      <c r="G22" s="12" t="e">
        <f>#REF!*C22</f>
        <v>#REF!</v>
      </c>
      <c r="H22" s="12" t="e">
        <f t="shared" si="1"/>
        <v>#REF!</v>
      </c>
      <c r="J22" s="13" t="s">
        <v>32</v>
      </c>
    </row>
    <row r="23" spans="1:10" ht="15.6" x14ac:dyDescent="0.3">
      <c r="A23" s="7">
        <f>[1]Лист4!A22</f>
        <v>1</v>
      </c>
      <c r="B23" s="8" t="s">
        <v>325</v>
      </c>
      <c r="C23" s="9">
        <v>40</v>
      </c>
      <c r="D23" s="11">
        <v>15.02</v>
      </c>
      <c r="E23" s="11">
        <f t="shared" si="0"/>
        <v>13.22</v>
      </c>
      <c r="F23" s="10" t="e">
        <f>#REF!*C23</f>
        <v>#REF!</v>
      </c>
      <c r="G23" s="12" t="e">
        <f>#REF!*C23</f>
        <v>#REF!</v>
      </c>
      <c r="H23" s="12" t="e">
        <f t="shared" si="1"/>
        <v>#REF!</v>
      </c>
      <c r="J23" s="13" t="s">
        <v>33</v>
      </c>
    </row>
    <row r="24" spans="1:10" ht="15.6" x14ac:dyDescent="0.3">
      <c r="A24" s="7">
        <f>[1]Лист4!A34</f>
        <v>1</v>
      </c>
      <c r="B24" s="8" t="s">
        <v>333</v>
      </c>
      <c r="C24" s="9">
        <v>20</v>
      </c>
      <c r="D24" s="11">
        <v>16.010000000000002</v>
      </c>
      <c r="E24" s="11">
        <f t="shared" si="0"/>
        <v>14.09</v>
      </c>
      <c r="F24" s="10" t="e">
        <f>#REF!*C24</f>
        <v>#REF!</v>
      </c>
      <c r="G24" s="12" t="e">
        <f>#REF!*C24</f>
        <v>#REF!</v>
      </c>
      <c r="H24" s="12" t="e">
        <f t="shared" si="1"/>
        <v>#REF!</v>
      </c>
      <c r="J24" s="13" t="s">
        <v>34</v>
      </c>
    </row>
    <row r="25" spans="1:10" ht="15.6" x14ac:dyDescent="0.3">
      <c r="A25" s="7">
        <f>[1]Лист4!A30</f>
        <v>1</v>
      </c>
      <c r="B25" s="8" t="s">
        <v>334</v>
      </c>
      <c r="C25" s="9">
        <v>40</v>
      </c>
      <c r="D25" s="11">
        <v>9.9</v>
      </c>
      <c r="E25" s="11">
        <f t="shared" si="0"/>
        <v>8.7200000000000006</v>
      </c>
      <c r="F25" s="10" t="e">
        <f>#REF!*C25</f>
        <v>#REF!</v>
      </c>
      <c r="G25" s="12" t="e">
        <f>#REF!*C25</f>
        <v>#REF!</v>
      </c>
      <c r="H25" s="12" t="e">
        <f t="shared" si="1"/>
        <v>#REF!</v>
      </c>
      <c r="J25" s="13" t="s">
        <v>35</v>
      </c>
    </row>
    <row r="26" spans="1:10" ht="15.6" x14ac:dyDescent="0.3">
      <c r="A26" s="7">
        <f>[1]Лист4!A16</f>
        <v>1</v>
      </c>
      <c r="B26" s="8" t="s">
        <v>326</v>
      </c>
      <c r="C26" s="9">
        <v>50</v>
      </c>
      <c r="D26" s="11">
        <v>6.46</v>
      </c>
      <c r="E26" s="11">
        <f t="shared" si="0"/>
        <v>5.6899999999999995</v>
      </c>
      <c r="F26" s="10" t="e">
        <f>#REF!*C26</f>
        <v>#REF!</v>
      </c>
      <c r="G26" s="12" t="e">
        <f>#REF!*C26</f>
        <v>#REF!</v>
      </c>
      <c r="H26" s="12" t="e">
        <f t="shared" si="1"/>
        <v>#REF!</v>
      </c>
      <c r="J26" s="13" t="s">
        <v>36</v>
      </c>
    </row>
    <row r="27" spans="1:10" ht="15.6" x14ac:dyDescent="0.3">
      <c r="A27" s="7">
        <f>[1]Лист4!A26</f>
        <v>1</v>
      </c>
      <c r="B27" s="8" t="s">
        <v>169</v>
      </c>
      <c r="C27" s="9">
        <v>40</v>
      </c>
      <c r="D27" s="11">
        <v>10.65</v>
      </c>
      <c r="E27" s="11">
        <f t="shared" si="0"/>
        <v>9.379999999999999</v>
      </c>
      <c r="F27" s="10" t="e">
        <f>#REF!*C27</f>
        <v>#REF!</v>
      </c>
      <c r="G27" s="12" t="e">
        <f>#REF!*C27</f>
        <v>#REF!</v>
      </c>
      <c r="H27" s="12" t="e">
        <f t="shared" si="1"/>
        <v>#REF!</v>
      </c>
      <c r="J27" s="13" t="s">
        <v>37</v>
      </c>
    </row>
    <row r="28" spans="1:10" ht="15.6" x14ac:dyDescent="0.3">
      <c r="A28" s="7">
        <f>[1]Лист4!A38</f>
        <v>2</v>
      </c>
      <c r="B28" s="8" t="s">
        <v>170</v>
      </c>
      <c r="C28" s="9">
        <v>360</v>
      </c>
      <c r="D28" s="11">
        <v>4.37</v>
      </c>
      <c r="E28" s="11">
        <f t="shared" si="0"/>
        <v>3.8499999999999996</v>
      </c>
      <c r="F28" s="10" t="e">
        <f>#REF!*C28</f>
        <v>#REF!</v>
      </c>
      <c r="G28" s="12" t="e">
        <f>#REF!*C28</f>
        <v>#REF!</v>
      </c>
      <c r="H28" s="12" t="e">
        <f t="shared" si="1"/>
        <v>#REF!</v>
      </c>
      <c r="J28" s="13" t="s">
        <v>38</v>
      </c>
    </row>
    <row r="29" spans="1:10" ht="15.6" x14ac:dyDescent="0.3">
      <c r="A29" s="7">
        <f>[1]Лист4!A41</f>
        <v>2</v>
      </c>
      <c r="B29" s="8" t="s">
        <v>171</v>
      </c>
      <c r="C29" s="9">
        <v>60</v>
      </c>
      <c r="D29" s="11">
        <v>5.51</v>
      </c>
      <c r="E29" s="11">
        <f t="shared" si="0"/>
        <v>4.8499999999999996</v>
      </c>
      <c r="F29" s="10" t="e">
        <f>#REF!*C29</f>
        <v>#REF!</v>
      </c>
      <c r="G29" s="12" t="e">
        <f>#REF!*C29</f>
        <v>#REF!</v>
      </c>
      <c r="H29" s="12" t="e">
        <f t="shared" si="1"/>
        <v>#REF!</v>
      </c>
      <c r="J29" s="13" t="s">
        <v>39</v>
      </c>
    </row>
    <row r="30" spans="1:10" ht="15.6" x14ac:dyDescent="0.3">
      <c r="A30" s="7">
        <f>[1]Лист4!A42</f>
        <v>2</v>
      </c>
      <c r="B30" s="14" t="s">
        <v>172</v>
      </c>
      <c r="C30" s="15">
        <v>300</v>
      </c>
      <c r="D30" s="17">
        <v>3.3499999999999996</v>
      </c>
      <c r="E30" s="17">
        <f t="shared" si="0"/>
        <v>2.9499999999999997</v>
      </c>
      <c r="F30" s="16" t="e">
        <f>#REF!*C30</f>
        <v>#REF!</v>
      </c>
      <c r="G30" s="18" t="e">
        <f>#REF!*C30</f>
        <v>#REF!</v>
      </c>
      <c r="H30" s="18" t="e">
        <f t="shared" si="1"/>
        <v>#REF!</v>
      </c>
      <c r="J30" s="13" t="s">
        <v>14</v>
      </c>
    </row>
    <row r="31" spans="1:10" ht="15.6" x14ac:dyDescent="0.3">
      <c r="A31" s="7">
        <f>[1]Лист4!A40</f>
        <v>2</v>
      </c>
      <c r="B31" s="8" t="s">
        <v>173</v>
      </c>
      <c r="C31" s="9">
        <v>60</v>
      </c>
      <c r="D31" s="11">
        <v>7.54</v>
      </c>
      <c r="E31" s="11">
        <f t="shared" si="0"/>
        <v>6.64</v>
      </c>
      <c r="F31" s="10" t="e">
        <f>#REF!*C31</f>
        <v>#REF!</v>
      </c>
      <c r="G31" s="12" t="e">
        <f>#REF!*C31</f>
        <v>#REF!</v>
      </c>
      <c r="H31" s="12" t="e">
        <f t="shared" si="1"/>
        <v>#REF!</v>
      </c>
      <c r="J31" s="13" t="s">
        <v>40</v>
      </c>
    </row>
    <row r="32" spans="1:10" ht="15.6" x14ac:dyDescent="0.3">
      <c r="A32" s="7">
        <f>[1]Лист4!A39</f>
        <v>2</v>
      </c>
      <c r="B32" s="8" t="s">
        <v>174</v>
      </c>
      <c r="C32" s="9">
        <v>50</v>
      </c>
      <c r="D32" s="11">
        <v>4.5599999999999996</v>
      </c>
      <c r="E32" s="11">
        <f t="shared" si="0"/>
        <v>4.0199999999999996</v>
      </c>
      <c r="F32" s="10" t="e">
        <f>#REF!*C32</f>
        <v>#REF!</v>
      </c>
      <c r="G32" s="12" t="e">
        <f>#REF!*C32</f>
        <v>#REF!</v>
      </c>
      <c r="H32" s="12" t="e">
        <f t="shared" si="1"/>
        <v>#REF!</v>
      </c>
      <c r="J32" s="13" t="s">
        <v>41</v>
      </c>
    </row>
    <row r="33" spans="1:10" ht="15.6" x14ac:dyDescent="0.3">
      <c r="A33" s="19">
        <f>[1]Лист4!A45</f>
        <v>2</v>
      </c>
      <c r="B33" s="14" t="s">
        <v>175</v>
      </c>
      <c r="C33" s="15">
        <v>16130</v>
      </c>
      <c r="D33" s="17">
        <v>4.8099999999999996</v>
      </c>
      <c r="E33" s="17">
        <f t="shared" ref="E33:E96" si="2">ROUNDUP(D33*0.88,2)</f>
        <v>4.24</v>
      </c>
      <c r="F33" s="16" t="e">
        <f>#REF!*C33</f>
        <v>#REF!</v>
      </c>
      <c r="G33" s="18" t="e">
        <f>#REF!*C33</f>
        <v>#REF!</v>
      </c>
      <c r="H33" s="18" t="e">
        <f t="shared" ref="H33:H96" si="3">G33-F33</f>
        <v>#REF!</v>
      </c>
      <c r="J33" s="13" t="s">
        <v>4</v>
      </c>
    </row>
    <row r="34" spans="1:10" ht="15.6" x14ac:dyDescent="0.3">
      <c r="A34" s="7">
        <f>[1]Лист4!A186</f>
        <v>2</v>
      </c>
      <c r="B34" s="8" t="s">
        <v>176</v>
      </c>
      <c r="C34" s="9">
        <v>320</v>
      </c>
      <c r="D34" s="11">
        <v>3.6799999999999997</v>
      </c>
      <c r="E34" s="11">
        <f t="shared" si="2"/>
        <v>3.2399999999999998</v>
      </c>
      <c r="F34" s="10" t="e">
        <f>#REF!*C34</f>
        <v>#REF!</v>
      </c>
      <c r="G34" s="12" t="e">
        <f>#REF!*C34</f>
        <v>#REF!</v>
      </c>
      <c r="H34" s="12" t="e">
        <f t="shared" si="3"/>
        <v>#REF!</v>
      </c>
      <c r="J34" t="s">
        <v>42</v>
      </c>
    </row>
    <row r="35" spans="1:10" ht="15.6" x14ac:dyDescent="0.3">
      <c r="A35" s="7">
        <f>[1]Лист4!A188</f>
        <v>2</v>
      </c>
      <c r="B35" s="8" t="s">
        <v>177</v>
      </c>
      <c r="C35" s="9">
        <v>960</v>
      </c>
      <c r="D35" s="11">
        <v>3.98</v>
      </c>
      <c r="E35" s="11">
        <f t="shared" si="2"/>
        <v>3.51</v>
      </c>
      <c r="F35" s="10" t="e">
        <f>#REF!*C35</f>
        <v>#REF!</v>
      </c>
      <c r="G35" s="12" t="e">
        <f>#REF!*C35</f>
        <v>#REF!</v>
      </c>
      <c r="H35" s="12" t="e">
        <f t="shared" si="3"/>
        <v>#REF!</v>
      </c>
      <c r="J35" t="s">
        <v>43</v>
      </c>
    </row>
    <row r="36" spans="1:10" ht="15.6" x14ac:dyDescent="0.3">
      <c r="A36" s="7">
        <f>[1]Лист4!A187</f>
        <v>2</v>
      </c>
      <c r="B36" s="8" t="s">
        <v>178</v>
      </c>
      <c r="C36" s="9">
        <v>400</v>
      </c>
      <c r="D36" s="11">
        <v>3.6799999999999997</v>
      </c>
      <c r="E36" s="11">
        <f t="shared" si="2"/>
        <v>3.2399999999999998</v>
      </c>
      <c r="F36" s="10" t="e">
        <f>#REF!*C36</f>
        <v>#REF!</v>
      </c>
      <c r="G36" s="12" t="e">
        <f>#REF!*C36</f>
        <v>#REF!</v>
      </c>
      <c r="H36" s="12" t="e">
        <f t="shared" si="3"/>
        <v>#REF!</v>
      </c>
      <c r="J36" t="s">
        <v>44</v>
      </c>
    </row>
    <row r="37" spans="1:10" ht="15.6" x14ac:dyDescent="0.3">
      <c r="A37" s="7">
        <f>[1]Лист4!A52</f>
        <v>2</v>
      </c>
      <c r="B37" s="8" t="s">
        <v>179</v>
      </c>
      <c r="C37" s="9">
        <v>240</v>
      </c>
      <c r="D37" s="11">
        <v>3.9</v>
      </c>
      <c r="E37" s="11">
        <f t="shared" si="2"/>
        <v>3.44</v>
      </c>
      <c r="F37" s="10" t="e">
        <f>#REF!*C37</f>
        <v>#REF!</v>
      </c>
      <c r="G37" s="12" t="e">
        <f>#REF!*C37</f>
        <v>#REF!</v>
      </c>
      <c r="H37" s="12" t="e">
        <f t="shared" si="3"/>
        <v>#REF!</v>
      </c>
      <c r="J37" s="13" t="s">
        <v>45</v>
      </c>
    </row>
    <row r="38" spans="1:10" ht="15.6" x14ac:dyDescent="0.3">
      <c r="A38" s="7">
        <f>[1]Лист4!A56</f>
        <v>2</v>
      </c>
      <c r="B38" s="8" t="s">
        <v>180</v>
      </c>
      <c r="C38" s="9">
        <v>160</v>
      </c>
      <c r="D38" s="11">
        <v>3.98</v>
      </c>
      <c r="E38" s="11">
        <f t="shared" si="2"/>
        <v>3.51</v>
      </c>
      <c r="F38" s="10" t="e">
        <f>#REF!*C38</f>
        <v>#REF!</v>
      </c>
      <c r="G38" s="12" t="e">
        <f>#REF!*C38</f>
        <v>#REF!</v>
      </c>
      <c r="H38" s="12" t="e">
        <f t="shared" si="3"/>
        <v>#REF!</v>
      </c>
      <c r="J38" s="13" t="s">
        <v>46</v>
      </c>
    </row>
    <row r="39" spans="1:10" ht="15.6" x14ac:dyDescent="0.3">
      <c r="A39" s="7">
        <f>[1]Лист4!A57</f>
        <v>2</v>
      </c>
      <c r="B39" s="8" t="s">
        <v>181</v>
      </c>
      <c r="C39" s="9">
        <v>80</v>
      </c>
      <c r="D39" s="11">
        <v>3.38</v>
      </c>
      <c r="E39" s="11">
        <f t="shared" si="2"/>
        <v>2.98</v>
      </c>
      <c r="F39" s="10" t="e">
        <f>#REF!*C39</f>
        <v>#REF!</v>
      </c>
      <c r="G39" s="12" t="e">
        <f>#REF!*C39</f>
        <v>#REF!</v>
      </c>
      <c r="H39" s="12" t="e">
        <f t="shared" si="3"/>
        <v>#REF!</v>
      </c>
      <c r="J39" s="13" t="s">
        <v>47</v>
      </c>
    </row>
    <row r="40" spans="1:10" ht="15.6" x14ac:dyDescent="0.3">
      <c r="A40" s="7">
        <f>[1]Лист4!A58</f>
        <v>2</v>
      </c>
      <c r="B40" s="8" t="s">
        <v>182</v>
      </c>
      <c r="C40" s="9">
        <v>160</v>
      </c>
      <c r="D40" s="11">
        <v>3.98</v>
      </c>
      <c r="E40" s="11">
        <f t="shared" si="2"/>
        <v>3.51</v>
      </c>
      <c r="F40" s="10" t="e">
        <f>#REF!*C40</f>
        <v>#REF!</v>
      </c>
      <c r="G40" s="12" t="e">
        <f>#REF!*C40</f>
        <v>#REF!</v>
      </c>
      <c r="H40" s="12" t="e">
        <f t="shared" si="3"/>
        <v>#REF!</v>
      </c>
      <c r="J40" s="13" t="s">
        <v>48</v>
      </c>
    </row>
    <row r="41" spans="1:10" ht="15.6" x14ac:dyDescent="0.3">
      <c r="A41" s="7">
        <f>[1]Лист4!A190</f>
        <v>2</v>
      </c>
      <c r="B41" s="8" t="s">
        <v>183</v>
      </c>
      <c r="C41" s="9">
        <v>160</v>
      </c>
      <c r="D41" s="11">
        <v>3.6399999999999997</v>
      </c>
      <c r="E41" s="11">
        <f t="shared" si="2"/>
        <v>3.21</v>
      </c>
      <c r="F41" s="10" t="e">
        <f>#REF!*C41</f>
        <v>#REF!</v>
      </c>
      <c r="G41" s="12" t="e">
        <f>#REF!*C41</f>
        <v>#REF!</v>
      </c>
      <c r="H41" s="12" t="e">
        <f t="shared" si="3"/>
        <v>#REF!</v>
      </c>
      <c r="J41" t="s">
        <v>49</v>
      </c>
    </row>
    <row r="42" spans="1:10" ht="15.6" x14ac:dyDescent="0.3">
      <c r="A42" s="7">
        <f>[1]Лист4!A191</f>
        <v>2</v>
      </c>
      <c r="B42" s="8" t="s">
        <v>184</v>
      </c>
      <c r="C42" s="9">
        <v>160</v>
      </c>
      <c r="D42" s="11">
        <v>3.0799999999999996</v>
      </c>
      <c r="E42" s="11">
        <f t="shared" si="2"/>
        <v>2.7199999999999998</v>
      </c>
      <c r="F42" s="10" t="e">
        <f>#REF!*C42</f>
        <v>#REF!</v>
      </c>
      <c r="G42" s="12" t="e">
        <f>#REF!*C42</f>
        <v>#REF!</v>
      </c>
      <c r="H42" s="12" t="e">
        <f t="shared" si="3"/>
        <v>#REF!</v>
      </c>
      <c r="J42" t="s">
        <v>5</v>
      </c>
    </row>
    <row r="43" spans="1:10" ht="15.6" x14ac:dyDescent="0.3">
      <c r="A43" s="7">
        <f>[1]Лист4!A60</f>
        <v>2</v>
      </c>
      <c r="B43" s="8" t="s">
        <v>185</v>
      </c>
      <c r="C43" s="9">
        <v>160</v>
      </c>
      <c r="D43" s="11">
        <v>3.6399999999999997</v>
      </c>
      <c r="E43" s="11">
        <f t="shared" si="2"/>
        <v>3.21</v>
      </c>
      <c r="F43" s="10" t="e">
        <f>#REF!*C43</f>
        <v>#REF!</v>
      </c>
      <c r="G43" s="12" t="e">
        <f>#REF!*C43</f>
        <v>#REF!</v>
      </c>
      <c r="H43" s="12" t="e">
        <f t="shared" si="3"/>
        <v>#REF!</v>
      </c>
      <c r="J43" s="13" t="s">
        <v>50</v>
      </c>
    </row>
    <row r="44" spans="1:10" ht="15.6" x14ac:dyDescent="0.3">
      <c r="A44" s="7">
        <f>[1]Лист4!A61</f>
        <v>2</v>
      </c>
      <c r="B44" s="8" t="s">
        <v>186</v>
      </c>
      <c r="C44" s="9">
        <v>160</v>
      </c>
      <c r="D44" s="11">
        <v>4.2</v>
      </c>
      <c r="E44" s="11">
        <f t="shared" si="2"/>
        <v>3.6999999999999997</v>
      </c>
      <c r="F44" s="10" t="e">
        <f>#REF!*C44</f>
        <v>#REF!</v>
      </c>
      <c r="G44" s="12" t="e">
        <f>#REF!*C44</f>
        <v>#REF!</v>
      </c>
      <c r="H44" s="12" t="e">
        <f t="shared" si="3"/>
        <v>#REF!</v>
      </c>
      <c r="J44" s="13" t="s">
        <v>51</v>
      </c>
    </row>
    <row r="45" spans="1:10" ht="15.6" x14ac:dyDescent="0.3">
      <c r="A45" s="7">
        <f>[1]Лист4!A59</f>
        <v>2</v>
      </c>
      <c r="B45" s="8" t="s">
        <v>187</v>
      </c>
      <c r="C45" s="9">
        <v>160</v>
      </c>
      <c r="D45" s="11">
        <v>4.1499999999999995</v>
      </c>
      <c r="E45" s="11">
        <f t="shared" si="2"/>
        <v>3.6599999999999997</v>
      </c>
      <c r="F45" s="10" t="e">
        <f>#REF!*C45</f>
        <v>#REF!</v>
      </c>
      <c r="G45" s="12" t="e">
        <f>#REF!*C45</f>
        <v>#REF!</v>
      </c>
      <c r="H45" s="12" t="e">
        <f t="shared" si="3"/>
        <v>#REF!</v>
      </c>
      <c r="J45" s="13" t="s">
        <v>52</v>
      </c>
    </row>
    <row r="46" spans="1:10" ht="15.6" x14ac:dyDescent="0.3">
      <c r="A46" s="7">
        <f>[1]Лист4!A62</f>
        <v>2</v>
      </c>
      <c r="B46" s="8" t="s">
        <v>188</v>
      </c>
      <c r="C46" s="9">
        <v>800</v>
      </c>
      <c r="D46" s="11">
        <v>4.1499999999999995</v>
      </c>
      <c r="E46" s="11">
        <f t="shared" si="2"/>
        <v>3.6599999999999997</v>
      </c>
      <c r="F46" s="10" t="e">
        <f>#REF!*C46</f>
        <v>#REF!</v>
      </c>
      <c r="G46" s="12" t="e">
        <f>#REF!*C46</f>
        <v>#REF!</v>
      </c>
      <c r="H46" s="12" t="e">
        <f t="shared" si="3"/>
        <v>#REF!</v>
      </c>
      <c r="J46" s="13" t="s">
        <v>6</v>
      </c>
    </row>
    <row r="47" spans="1:10" ht="15.6" x14ac:dyDescent="0.3">
      <c r="A47" s="7">
        <f>[1]Лист4!A65</f>
        <v>2</v>
      </c>
      <c r="B47" s="8" t="s">
        <v>189</v>
      </c>
      <c r="C47" s="9">
        <v>160</v>
      </c>
      <c r="D47" s="11">
        <v>3.17</v>
      </c>
      <c r="E47" s="11">
        <f t="shared" si="2"/>
        <v>2.7899999999999996</v>
      </c>
      <c r="F47" s="10" t="e">
        <f>#REF!*C47</f>
        <v>#REF!</v>
      </c>
      <c r="G47" s="12" t="e">
        <f>#REF!*C47</f>
        <v>#REF!</v>
      </c>
      <c r="H47" s="12" t="e">
        <f t="shared" si="3"/>
        <v>#REF!</v>
      </c>
      <c r="J47" s="13" t="s">
        <v>53</v>
      </c>
    </row>
    <row r="48" spans="1:10" ht="15.6" x14ac:dyDescent="0.3">
      <c r="A48" s="7">
        <f>[1]Лист4!A64</f>
        <v>2</v>
      </c>
      <c r="B48" s="8" t="s">
        <v>190</v>
      </c>
      <c r="C48" s="9">
        <v>240</v>
      </c>
      <c r="D48" s="11">
        <v>3.5599999999999996</v>
      </c>
      <c r="E48" s="11">
        <f t="shared" si="2"/>
        <v>3.1399999999999997</v>
      </c>
      <c r="F48" s="10" t="e">
        <f>#REF!*C48</f>
        <v>#REF!</v>
      </c>
      <c r="G48" s="12" t="e">
        <f>#REF!*C48</f>
        <v>#REF!</v>
      </c>
      <c r="H48" s="12" t="e">
        <f t="shared" si="3"/>
        <v>#REF!</v>
      </c>
      <c r="J48" s="13" t="s">
        <v>54</v>
      </c>
    </row>
    <row r="49" spans="1:10" ht="15.6" x14ac:dyDescent="0.3">
      <c r="A49" s="7">
        <f>[1]Лист4!A67</f>
        <v>2</v>
      </c>
      <c r="B49" s="8" t="s">
        <v>191</v>
      </c>
      <c r="C49" s="9">
        <v>160</v>
      </c>
      <c r="D49" s="11">
        <v>3.34</v>
      </c>
      <c r="E49" s="11">
        <f t="shared" si="2"/>
        <v>2.94</v>
      </c>
      <c r="F49" s="10" t="e">
        <f>#REF!*C49</f>
        <v>#REF!</v>
      </c>
      <c r="G49" s="12" t="e">
        <f>#REF!*C49</f>
        <v>#REF!</v>
      </c>
      <c r="H49" s="12" t="e">
        <f t="shared" si="3"/>
        <v>#REF!</v>
      </c>
      <c r="J49" s="13" t="s">
        <v>55</v>
      </c>
    </row>
    <row r="50" spans="1:10" ht="15.6" x14ac:dyDescent="0.3">
      <c r="A50" s="7">
        <f>[1]Лист4!A68</f>
        <v>2</v>
      </c>
      <c r="B50" s="8" t="s">
        <v>192</v>
      </c>
      <c r="C50" s="9">
        <v>160</v>
      </c>
      <c r="D50" s="11">
        <v>3.26</v>
      </c>
      <c r="E50" s="11">
        <f t="shared" si="2"/>
        <v>2.8699999999999997</v>
      </c>
      <c r="F50" s="10" t="e">
        <f>#REF!*C50</f>
        <v>#REF!</v>
      </c>
      <c r="G50" s="12" t="e">
        <f>#REF!*C50</f>
        <v>#REF!</v>
      </c>
      <c r="H50" s="12" t="e">
        <f t="shared" si="3"/>
        <v>#REF!</v>
      </c>
      <c r="J50" s="13" t="s">
        <v>56</v>
      </c>
    </row>
    <row r="51" spans="1:10" ht="15.6" x14ac:dyDescent="0.3">
      <c r="A51" s="7">
        <f>[1]Лист4!A43</f>
        <v>2</v>
      </c>
      <c r="B51" s="8" t="s">
        <v>193</v>
      </c>
      <c r="C51" s="9">
        <v>75</v>
      </c>
      <c r="D51" s="11">
        <v>4.1499999999999995</v>
      </c>
      <c r="E51" s="11">
        <f t="shared" si="2"/>
        <v>3.6599999999999997</v>
      </c>
      <c r="F51" s="10" t="e">
        <f>#REF!*C51</f>
        <v>#REF!</v>
      </c>
      <c r="G51" s="12" t="e">
        <f>#REF!*C51</f>
        <v>#REF!</v>
      </c>
      <c r="H51" s="12" t="e">
        <f t="shared" si="3"/>
        <v>#REF!</v>
      </c>
      <c r="J51" s="13" t="s">
        <v>57</v>
      </c>
    </row>
    <row r="52" spans="1:10" ht="15.6" x14ac:dyDescent="0.3">
      <c r="A52" s="7">
        <f>[1]Лист4!A44</f>
        <v>2</v>
      </c>
      <c r="B52" s="8" t="s">
        <v>194</v>
      </c>
      <c r="C52" s="9">
        <v>75</v>
      </c>
      <c r="D52" s="11">
        <v>3.7699999999999996</v>
      </c>
      <c r="E52" s="11">
        <f t="shared" si="2"/>
        <v>3.32</v>
      </c>
      <c r="F52" s="10" t="e">
        <f>#REF!*C52</f>
        <v>#REF!</v>
      </c>
      <c r="G52" s="12" t="e">
        <f>#REF!*C52</f>
        <v>#REF!</v>
      </c>
      <c r="H52" s="12" t="e">
        <f t="shared" si="3"/>
        <v>#REF!</v>
      </c>
      <c r="J52" s="13" t="s">
        <v>58</v>
      </c>
    </row>
    <row r="53" spans="1:10" ht="15.6" x14ac:dyDescent="0.3">
      <c r="A53" s="7">
        <f>[1]Лист4!A69</f>
        <v>2</v>
      </c>
      <c r="B53" s="8" t="s">
        <v>195</v>
      </c>
      <c r="C53" s="9">
        <v>160</v>
      </c>
      <c r="D53" s="11">
        <v>3.4699999999999998</v>
      </c>
      <c r="E53" s="11">
        <f t="shared" si="2"/>
        <v>3.0599999999999996</v>
      </c>
      <c r="F53" s="10" t="e">
        <f>#REF!*C53</f>
        <v>#REF!</v>
      </c>
      <c r="G53" s="12" t="e">
        <f>#REF!*C53</f>
        <v>#REF!</v>
      </c>
      <c r="H53" s="12" t="e">
        <f t="shared" si="3"/>
        <v>#REF!</v>
      </c>
      <c r="J53" s="13" t="s">
        <v>59</v>
      </c>
    </row>
    <row r="54" spans="1:10" ht="15.6" x14ac:dyDescent="0.3">
      <c r="A54" s="7">
        <f>[1]Лист4!A192</f>
        <v>2</v>
      </c>
      <c r="B54" s="8" t="s">
        <v>196</v>
      </c>
      <c r="C54" s="9">
        <v>160</v>
      </c>
      <c r="D54" s="11">
        <v>3.34</v>
      </c>
      <c r="E54" s="11">
        <f t="shared" si="2"/>
        <v>2.94</v>
      </c>
      <c r="F54" s="10" t="e">
        <f>#REF!*C54</f>
        <v>#REF!</v>
      </c>
      <c r="G54" s="12" t="e">
        <f>#REF!*C54</f>
        <v>#REF!</v>
      </c>
      <c r="H54" s="12" t="e">
        <f t="shared" si="3"/>
        <v>#REF!</v>
      </c>
      <c r="J54" t="s">
        <v>60</v>
      </c>
    </row>
    <row r="55" spans="1:10" ht="15.6" x14ac:dyDescent="0.3">
      <c r="A55" s="7">
        <f>[1]Лист4!A53</f>
        <v>2</v>
      </c>
      <c r="B55" s="8" t="s">
        <v>197</v>
      </c>
      <c r="C55" s="9">
        <v>160</v>
      </c>
      <c r="D55" s="11">
        <v>4.88</v>
      </c>
      <c r="E55" s="11">
        <f t="shared" si="2"/>
        <v>4.3</v>
      </c>
      <c r="F55" s="10" t="e">
        <f>#REF!*C55</f>
        <v>#REF!</v>
      </c>
      <c r="G55" s="12" t="e">
        <f>#REF!*C55</f>
        <v>#REF!</v>
      </c>
      <c r="H55" s="12" t="e">
        <f t="shared" si="3"/>
        <v>#REF!</v>
      </c>
      <c r="J55" s="13" t="s">
        <v>61</v>
      </c>
    </row>
    <row r="56" spans="1:10" ht="15.6" x14ac:dyDescent="0.3">
      <c r="A56" s="7">
        <f>[1]Лист4!A55</f>
        <v>2</v>
      </c>
      <c r="B56" s="8" t="s">
        <v>198</v>
      </c>
      <c r="C56" s="9">
        <v>160</v>
      </c>
      <c r="D56" s="11">
        <v>3.34</v>
      </c>
      <c r="E56" s="11">
        <f t="shared" si="2"/>
        <v>2.94</v>
      </c>
      <c r="F56" s="10" t="e">
        <f>#REF!*C56</f>
        <v>#REF!</v>
      </c>
      <c r="G56" s="12" t="e">
        <f>#REF!*C56</f>
        <v>#REF!</v>
      </c>
      <c r="H56" s="12" t="e">
        <f t="shared" si="3"/>
        <v>#REF!</v>
      </c>
      <c r="J56" s="13" t="s">
        <v>62</v>
      </c>
    </row>
    <row r="57" spans="1:10" ht="15.6" x14ac:dyDescent="0.3">
      <c r="A57" s="20">
        <f>[1]Лист4!A189</f>
        <v>2</v>
      </c>
      <c r="B57" s="14" t="s">
        <v>199</v>
      </c>
      <c r="C57" s="15">
        <v>6560</v>
      </c>
      <c r="D57" s="17">
        <v>3.1199999999999997</v>
      </c>
      <c r="E57" s="17">
        <f t="shared" si="2"/>
        <v>2.75</v>
      </c>
      <c r="F57" s="16" t="e">
        <f>#REF!*C57</f>
        <v>#REF!</v>
      </c>
      <c r="G57" s="18" t="e">
        <f>#REF!*C57</f>
        <v>#REF!</v>
      </c>
      <c r="H57" s="18" t="e">
        <f t="shared" si="3"/>
        <v>#REF!</v>
      </c>
      <c r="J57" t="s">
        <v>63</v>
      </c>
    </row>
    <row r="58" spans="1:10" ht="15.6" x14ac:dyDescent="0.3">
      <c r="A58" s="7">
        <f>[1]Лист4!A49</f>
        <v>2</v>
      </c>
      <c r="B58" s="8" t="s">
        <v>200</v>
      </c>
      <c r="C58" s="9">
        <v>160</v>
      </c>
      <c r="D58" s="11">
        <v>3.3</v>
      </c>
      <c r="E58" s="11">
        <f t="shared" si="2"/>
        <v>2.9099999999999997</v>
      </c>
      <c r="F58" s="10" t="e">
        <f>#REF!*C58</f>
        <v>#REF!</v>
      </c>
      <c r="G58" s="12" t="e">
        <f>#REF!*C58</f>
        <v>#REF!</v>
      </c>
      <c r="H58" s="12" t="e">
        <f t="shared" si="3"/>
        <v>#REF!</v>
      </c>
      <c r="J58" s="13" t="s">
        <v>64</v>
      </c>
    </row>
    <row r="59" spans="1:10" ht="15.6" x14ac:dyDescent="0.3">
      <c r="A59" s="7">
        <f>[1]Лист4!A70</f>
        <v>3</v>
      </c>
      <c r="B59" s="8" t="s">
        <v>201</v>
      </c>
      <c r="C59" s="9">
        <v>150</v>
      </c>
      <c r="D59" s="11">
        <v>3.6599999999999997</v>
      </c>
      <c r="E59" s="11">
        <f t="shared" si="2"/>
        <v>3.23</v>
      </c>
      <c r="F59" s="10" t="e">
        <f>#REF!*C59</f>
        <v>#REF!</v>
      </c>
      <c r="G59" s="12" t="e">
        <f>#REF!*C59</f>
        <v>#REF!</v>
      </c>
      <c r="H59" s="12" t="e">
        <f t="shared" si="3"/>
        <v>#REF!</v>
      </c>
      <c r="J59" s="13" t="s">
        <v>65</v>
      </c>
    </row>
    <row r="60" spans="1:10" ht="15.6" x14ac:dyDescent="0.3">
      <c r="A60" s="7">
        <f>[1]Лист4!A72</f>
        <v>4</v>
      </c>
      <c r="B60" s="8" t="s">
        <v>202</v>
      </c>
      <c r="C60" s="9">
        <v>12</v>
      </c>
      <c r="D60" s="11">
        <v>81.960000000000008</v>
      </c>
      <c r="E60" s="11">
        <f t="shared" si="2"/>
        <v>72.13000000000001</v>
      </c>
      <c r="F60" s="10" t="e">
        <f>#REF!*C60</f>
        <v>#REF!</v>
      </c>
      <c r="G60" s="12" t="e">
        <f>#REF!*C60</f>
        <v>#REF!</v>
      </c>
      <c r="H60" s="12" t="e">
        <f t="shared" si="3"/>
        <v>#REF!</v>
      </c>
      <c r="J60" s="13" t="s">
        <v>66</v>
      </c>
    </row>
    <row r="61" spans="1:10" ht="15.6" x14ac:dyDescent="0.3">
      <c r="A61" s="7">
        <f>[1]Лист4!A74</f>
        <v>4</v>
      </c>
      <c r="B61" s="8" t="s">
        <v>203</v>
      </c>
      <c r="C61" s="9">
        <v>6</v>
      </c>
      <c r="D61" s="11">
        <v>83.490000000000009</v>
      </c>
      <c r="E61" s="11">
        <f t="shared" si="2"/>
        <v>73.48</v>
      </c>
      <c r="F61" s="10" t="e">
        <f>#REF!*C61</f>
        <v>#REF!</v>
      </c>
      <c r="G61" s="12" t="e">
        <f>#REF!*C61</f>
        <v>#REF!</v>
      </c>
      <c r="H61" s="12" t="e">
        <f t="shared" si="3"/>
        <v>#REF!</v>
      </c>
      <c r="J61" s="13" t="s">
        <v>67</v>
      </c>
    </row>
    <row r="62" spans="1:10" ht="15.6" x14ac:dyDescent="0.3">
      <c r="A62" s="7">
        <f>[1]Лист4!A71</f>
        <v>4</v>
      </c>
      <c r="B62" s="8" t="s">
        <v>204</v>
      </c>
      <c r="C62" s="9">
        <v>12</v>
      </c>
      <c r="D62" s="11">
        <v>68.930000000000007</v>
      </c>
      <c r="E62" s="11">
        <f t="shared" si="2"/>
        <v>60.66</v>
      </c>
      <c r="F62" s="10" t="e">
        <f>#REF!*C62</f>
        <v>#REF!</v>
      </c>
      <c r="G62" s="12" t="e">
        <f>#REF!*C62</f>
        <v>#REF!</v>
      </c>
      <c r="H62" s="12" t="e">
        <f t="shared" si="3"/>
        <v>#REF!</v>
      </c>
      <c r="J62" s="13" t="s">
        <v>68</v>
      </c>
    </row>
    <row r="63" spans="1:10" ht="15.6" x14ac:dyDescent="0.3">
      <c r="A63" s="7">
        <f>[1]Лист4!A73</f>
        <v>4</v>
      </c>
      <c r="B63" s="8" t="s">
        <v>205</v>
      </c>
      <c r="C63" s="9">
        <v>6</v>
      </c>
      <c r="D63" s="11">
        <v>81.190000000000012</v>
      </c>
      <c r="E63" s="11">
        <f t="shared" si="2"/>
        <v>71.45</v>
      </c>
      <c r="F63" s="10" t="e">
        <f>#REF!*C63</f>
        <v>#REF!</v>
      </c>
      <c r="G63" s="12" t="e">
        <f>#REF!*C63</f>
        <v>#REF!</v>
      </c>
      <c r="H63" s="12" t="e">
        <f t="shared" si="3"/>
        <v>#REF!</v>
      </c>
      <c r="J63" s="13" t="s">
        <v>69</v>
      </c>
    </row>
    <row r="64" spans="1:10" ht="15.6" x14ac:dyDescent="0.3">
      <c r="A64" s="7">
        <f>[1]Лист4!A78</f>
        <v>6</v>
      </c>
      <c r="B64" s="8" t="s">
        <v>206</v>
      </c>
      <c r="C64" s="9">
        <v>240</v>
      </c>
      <c r="D64" s="11">
        <v>14.08</v>
      </c>
      <c r="E64" s="11">
        <f t="shared" si="2"/>
        <v>12.4</v>
      </c>
      <c r="F64" s="10" t="e">
        <f>#REF!*C64</f>
        <v>#REF!</v>
      </c>
      <c r="G64" s="12" t="e">
        <f>#REF!*C64</f>
        <v>#REF!</v>
      </c>
      <c r="H64" s="12" t="e">
        <f t="shared" si="3"/>
        <v>#REF!</v>
      </c>
      <c r="J64" s="13" t="s">
        <v>70</v>
      </c>
    </row>
    <row r="65" spans="1:10" ht="15.6" x14ac:dyDescent="0.3">
      <c r="A65" s="7">
        <f>[1]Лист4!A76</f>
        <v>6</v>
      </c>
      <c r="B65" s="8" t="s">
        <v>207</v>
      </c>
      <c r="C65" s="9">
        <v>80</v>
      </c>
      <c r="D65" s="11">
        <v>11.37</v>
      </c>
      <c r="E65" s="11">
        <f t="shared" si="2"/>
        <v>10.01</v>
      </c>
      <c r="F65" s="10" t="e">
        <f>#REF!*C65</f>
        <v>#REF!</v>
      </c>
      <c r="G65" s="12" t="e">
        <f>#REF!*C65</f>
        <v>#REF!</v>
      </c>
      <c r="H65" s="12" t="e">
        <f t="shared" si="3"/>
        <v>#REF!</v>
      </c>
      <c r="J65" s="13" t="s">
        <v>71</v>
      </c>
    </row>
    <row r="66" spans="1:10" ht="15.6" x14ac:dyDescent="0.3">
      <c r="A66" s="7">
        <f>[1]Лист4!A75</f>
        <v>6</v>
      </c>
      <c r="B66" s="8" t="s">
        <v>208</v>
      </c>
      <c r="C66" s="9">
        <v>80</v>
      </c>
      <c r="D66" s="11">
        <v>14.84</v>
      </c>
      <c r="E66" s="11">
        <f t="shared" si="2"/>
        <v>13.06</v>
      </c>
      <c r="F66" s="10" t="e">
        <f>#REF!*C66</f>
        <v>#REF!</v>
      </c>
      <c r="G66" s="12" t="e">
        <f>#REF!*C66</f>
        <v>#REF!</v>
      </c>
      <c r="H66" s="12" t="e">
        <f t="shared" si="3"/>
        <v>#REF!</v>
      </c>
      <c r="J66" s="13" t="s">
        <v>72</v>
      </c>
    </row>
    <row r="67" spans="1:10" ht="15.6" x14ac:dyDescent="0.3">
      <c r="A67" s="7">
        <f>[1]Лист4!A77</f>
        <v>6</v>
      </c>
      <c r="B67" s="8" t="s">
        <v>209</v>
      </c>
      <c r="C67" s="9">
        <v>80</v>
      </c>
      <c r="D67" s="11">
        <v>16.420000000000002</v>
      </c>
      <c r="E67" s="11">
        <f t="shared" si="2"/>
        <v>14.45</v>
      </c>
      <c r="F67" s="10" t="e">
        <f>#REF!*C67</f>
        <v>#REF!</v>
      </c>
      <c r="G67" s="12" t="e">
        <f>#REF!*C67</f>
        <v>#REF!</v>
      </c>
      <c r="H67" s="12" t="e">
        <f t="shared" si="3"/>
        <v>#REF!</v>
      </c>
      <c r="J67" s="13" t="s">
        <v>73</v>
      </c>
    </row>
    <row r="68" spans="1:10" ht="15.6" x14ac:dyDescent="0.3">
      <c r="A68" s="7">
        <f>[1]Лист4!A79</f>
        <v>8</v>
      </c>
      <c r="B68" s="8" t="s">
        <v>210</v>
      </c>
      <c r="C68" s="9">
        <v>30</v>
      </c>
      <c r="D68" s="11">
        <v>4.97</v>
      </c>
      <c r="E68" s="11">
        <f t="shared" si="2"/>
        <v>4.38</v>
      </c>
      <c r="F68" s="10" t="e">
        <f>#REF!*C68</f>
        <v>#REF!</v>
      </c>
      <c r="G68" s="12" t="e">
        <f>#REF!*C68</f>
        <v>#REF!</v>
      </c>
      <c r="H68" s="12" t="e">
        <f t="shared" si="3"/>
        <v>#REF!</v>
      </c>
      <c r="J68" s="13" t="s">
        <v>74</v>
      </c>
    </row>
    <row r="69" spans="1:10" ht="15.6" x14ac:dyDescent="0.3">
      <c r="A69" s="7">
        <f>[1]Лист4!A80</f>
        <v>8</v>
      </c>
      <c r="B69" s="8" t="s">
        <v>211</v>
      </c>
      <c r="C69" s="9">
        <v>150</v>
      </c>
      <c r="D69" s="11">
        <v>3.34</v>
      </c>
      <c r="E69" s="11">
        <f t="shared" si="2"/>
        <v>2.94</v>
      </c>
      <c r="F69" s="10" t="e">
        <f>#REF!*C69</f>
        <v>#REF!</v>
      </c>
      <c r="G69" s="12" t="e">
        <f>#REF!*C69</f>
        <v>#REF!</v>
      </c>
      <c r="H69" s="12" t="e">
        <f t="shared" si="3"/>
        <v>#REF!</v>
      </c>
      <c r="J69" s="13" t="s">
        <v>75</v>
      </c>
    </row>
    <row r="70" spans="1:10" ht="15.6" x14ac:dyDescent="0.3">
      <c r="A70" s="7">
        <f>[1]Лист4!A81</f>
        <v>8</v>
      </c>
      <c r="B70" s="8" t="s">
        <v>212</v>
      </c>
      <c r="C70" s="9">
        <v>200</v>
      </c>
      <c r="D70" s="11">
        <v>2.8</v>
      </c>
      <c r="E70" s="11">
        <f t="shared" si="2"/>
        <v>2.4699999999999998</v>
      </c>
      <c r="F70" s="10" t="e">
        <f>#REF!*C70</f>
        <v>#REF!</v>
      </c>
      <c r="G70" s="12" t="e">
        <f>#REF!*C70</f>
        <v>#REF!</v>
      </c>
      <c r="H70" s="12" t="e">
        <f t="shared" si="3"/>
        <v>#REF!</v>
      </c>
      <c r="J70" s="13" t="s">
        <v>76</v>
      </c>
    </row>
    <row r="71" spans="1:10" ht="15.6" x14ac:dyDescent="0.3">
      <c r="A71" s="7">
        <f>[1]Лист4!A82</f>
        <v>8</v>
      </c>
      <c r="B71" s="8" t="s">
        <v>213</v>
      </c>
      <c r="C71" s="9">
        <v>120</v>
      </c>
      <c r="D71" s="11">
        <v>18.270000000000003</v>
      </c>
      <c r="E71" s="11">
        <f t="shared" si="2"/>
        <v>16.080000000000002</v>
      </c>
      <c r="F71" s="10" t="e">
        <f>#REF!*C71</f>
        <v>#REF!</v>
      </c>
      <c r="G71" s="12" t="e">
        <f>#REF!*C71</f>
        <v>#REF!</v>
      </c>
      <c r="H71" s="12" t="e">
        <f t="shared" si="3"/>
        <v>#REF!</v>
      </c>
      <c r="J71" s="13" t="s">
        <v>77</v>
      </c>
    </row>
    <row r="72" spans="1:10" ht="15.6" x14ac:dyDescent="0.3">
      <c r="A72" s="7">
        <f>[1]Лист4!A90</f>
        <v>8</v>
      </c>
      <c r="B72" s="8" t="s">
        <v>214</v>
      </c>
      <c r="C72" s="9">
        <v>100</v>
      </c>
      <c r="D72" s="11">
        <v>5.7299999999999995</v>
      </c>
      <c r="E72" s="11">
        <f t="shared" si="2"/>
        <v>5.05</v>
      </c>
      <c r="F72" s="10" t="e">
        <f>#REF!*C72</f>
        <v>#REF!</v>
      </c>
      <c r="G72" s="12" t="e">
        <f>#REF!*C72</f>
        <v>#REF!</v>
      </c>
      <c r="H72" s="12" t="e">
        <f t="shared" si="3"/>
        <v>#REF!</v>
      </c>
      <c r="J72" s="13" t="s">
        <v>78</v>
      </c>
    </row>
    <row r="73" spans="1:10" ht="15.6" x14ac:dyDescent="0.3">
      <c r="A73" s="7">
        <f>[1]Лист4!A91</f>
        <v>8</v>
      </c>
      <c r="B73" s="8" t="s">
        <v>215</v>
      </c>
      <c r="C73" s="9">
        <v>60</v>
      </c>
      <c r="D73" s="11">
        <v>4.5599999999999996</v>
      </c>
      <c r="E73" s="11">
        <f t="shared" si="2"/>
        <v>4.0199999999999996</v>
      </c>
      <c r="F73" s="10" t="e">
        <f>#REF!*C73</f>
        <v>#REF!</v>
      </c>
      <c r="G73" s="12" t="e">
        <f>#REF!*C73</f>
        <v>#REF!</v>
      </c>
      <c r="H73" s="12" t="e">
        <f t="shared" si="3"/>
        <v>#REF!</v>
      </c>
      <c r="J73" s="13" t="s">
        <v>79</v>
      </c>
    </row>
    <row r="74" spans="1:10" ht="15.6" x14ac:dyDescent="0.3">
      <c r="A74" s="7">
        <f>[1]Лист4!A89</f>
        <v>8</v>
      </c>
      <c r="B74" s="8" t="s">
        <v>216</v>
      </c>
      <c r="C74" s="9">
        <v>180</v>
      </c>
      <c r="D74" s="11">
        <v>4.6499999999999995</v>
      </c>
      <c r="E74" s="11">
        <f t="shared" si="2"/>
        <v>4.0999999999999996</v>
      </c>
      <c r="F74" s="10" t="e">
        <f>#REF!*C74</f>
        <v>#REF!</v>
      </c>
      <c r="G74" s="12" t="e">
        <f>#REF!*C74</f>
        <v>#REF!</v>
      </c>
      <c r="H74" s="12" t="e">
        <f t="shared" si="3"/>
        <v>#REF!</v>
      </c>
      <c r="J74" s="13" t="s">
        <v>80</v>
      </c>
    </row>
    <row r="75" spans="1:10" ht="15.6" x14ac:dyDescent="0.3">
      <c r="A75" s="7">
        <f>[1]Лист4!A83</f>
        <v>8</v>
      </c>
      <c r="B75" s="8" t="s">
        <v>217</v>
      </c>
      <c r="C75" s="9">
        <v>48</v>
      </c>
      <c r="D75" s="11">
        <v>13.99</v>
      </c>
      <c r="E75" s="11">
        <f t="shared" si="2"/>
        <v>12.32</v>
      </c>
      <c r="F75" s="10" t="e">
        <f>#REF!*C75</f>
        <v>#REF!</v>
      </c>
      <c r="G75" s="12" t="e">
        <f>#REF!*C75</f>
        <v>#REF!</v>
      </c>
      <c r="H75" s="12" t="e">
        <f t="shared" si="3"/>
        <v>#REF!</v>
      </c>
      <c r="J75" s="13" t="s">
        <v>81</v>
      </c>
    </row>
    <row r="76" spans="1:10" ht="15.6" x14ac:dyDescent="0.3">
      <c r="A76" s="7">
        <f>[1]Лист4!A88</f>
        <v>8</v>
      </c>
      <c r="B76" s="8" t="s">
        <v>218</v>
      </c>
      <c r="C76" s="9">
        <v>40</v>
      </c>
      <c r="D76" s="11">
        <v>9.34</v>
      </c>
      <c r="E76" s="11">
        <f t="shared" si="2"/>
        <v>8.2200000000000006</v>
      </c>
      <c r="F76" s="10" t="e">
        <f>#REF!*C76</f>
        <v>#REF!</v>
      </c>
      <c r="G76" s="12" t="e">
        <f>#REF!*C76</f>
        <v>#REF!</v>
      </c>
      <c r="H76" s="12" t="e">
        <f t="shared" si="3"/>
        <v>#REF!</v>
      </c>
      <c r="J76" s="13" t="s">
        <v>82</v>
      </c>
    </row>
    <row r="77" spans="1:10" ht="15.6" x14ac:dyDescent="0.3">
      <c r="A77" s="7">
        <f>[1]Лист4!A85</f>
        <v>8</v>
      </c>
      <c r="B77" s="8" t="s">
        <v>219</v>
      </c>
      <c r="C77" s="9">
        <v>12</v>
      </c>
      <c r="D77" s="11">
        <v>19.760000000000002</v>
      </c>
      <c r="E77" s="11">
        <f t="shared" si="2"/>
        <v>17.39</v>
      </c>
      <c r="F77" s="10" t="e">
        <f>#REF!*C77</f>
        <v>#REF!</v>
      </c>
      <c r="G77" s="12" t="e">
        <f>#REF!*C77</f>
        <v>#REF!</v>
      </c>
      <c r="H77" s="12" t="e">
        <f t="shared" si="3"/>
        <v>#REF!</v>
      </c>
      <c r="J77" s="13" t="s">
        <v>83</v>
      </c>
    </row>
    <row r="78" spans="1:10" ht="15.6" x14ac:dyDescent="0.3">
      <c r="A78" s="7">
        <f>[1]Лист4!A84</f>
        <v>8</v>
      </c>
      <c r="B78" s="8" t="s">
        <v>220</v>
      </c>
      <c r="C78" s="9">
        <v>12</v>
      </c>
      <c r="D78" s="11">
        <v>19.940000000000001</v>
      </c>
      <c r="E78" s="11">
        <f t="shared" si="2"/>
        <v>17.55</v>
      </c>
      <c r="F78" s="10" t="e">
        <f>#REF!*C78</f>
        <v>#REF!</v>
      </c>
      <c r="G78" s="12" t="e">
        <f>#REF!*C78</f>
        <v>#REF!</v>
      </c>
      <c r="H78" s="12" t="e">
        <f t="shared" si="3"/>
        <v>#REF!</v>
      </c>
      <c r="J78" s="13" t="s">
        <v>84</v>
      </c>
    </row>
    <row r="79" spans="1:10" ht="15.6" x14ac:dyDescent="0.3">
      <c r="A79" s="7">
        <f>[1]Лист4!A86</f>
        <v>8</v>
      </c>
      <c r="B79" s="8" t="s">
        <v>221</v>
      </c>
      <c r="C79" s="9">
        <v>12</v>
      </c>
      <c r="D79" s="11">
        <v>13.72</v>
      </c>
      <c r="E79" s="11">
        <f t="shared" si="2"/>
        <v>12.08</v>
      </c>
      <c r="F79" s="10" t="e">
        <f>#REF!*C79</f>
        <v>#REF!</v>
      </c>
      <c r="G79" s="12" t="e">
        <f>#REF!*C79</f>
        <v>#REF!</v>
      </c>
      <c r="H79" s="12" t="e">
        <f t="shared" si="3"/>
        <v>#REF!</v>
      </c>
      <c r="J79" s="13" t="s">
        <v>85</v>
      </c>
    </row>
    <row r="80" spans="1:10" ht="15.6" x14ac:dyDescent="0.3">
      <c r="A80" s="7">
        <f>[1]Лист4!A87</f>
        <v>8</v>
      </c>
      <c r="B80" s="8" t="s">
        <v>222</v>
      </c>
      <c r="C80" s="9">
        <v>12</v>
      </c>
      <c r="D80" s="11">
        <v>9.48</v>
      </c>
      <c r="E80" s="11">
        <f t="shared" si="2"/>
        <v>8.35</v>
      </c>
      <c r="F80" s="10" t="e">
        <f>#REF!*C80</f>
        <v>#REF!</v>
      </c>
      <c r="G80" s="12" t="e">
        <f>#REF!*C80</f>
        <v>#REF!</v>
      </c>
      <c r="H80" s="12" t="e">
        <f t="shared" si="3"/>
        <v>#REF!</v>
      </c>
      <c r="J80" s="13" t="s">
        <v>86</v>
      </c>
    </row>
    <row r="81" spans="1:10" ht="15.6" x14ac:dyDescent="0.3">
      <c r="A81" s="7">
        <f>[1]Лист4!A93</f>
        <v>8</v>
      </c>
      <c r="B81" s="8" t="s">
        <v>223</v>
      </c>
      <c r="C81" s="9">
        <v>30</v>
      </c>
      <c r="D81" s="11">
        <v>4.29</v>
      </c>
      <c r="E81" s="11">
        <f t="shared" si="2"/>
        <v>3.78</v>
      </c>
      <c r="F81" s="10" t="e">
        <f>#REF!*C81</f>
        <v>#REF!</v>
      </c>
      <c r="G81" s="12" t="e">
        <f>#REF!*C81</f>
        <v>#REF!</v>
      </c>
      <c r="H81" s="12" t="e">
        <f t="shared" si="3"/>
        <v>#REF!</v>
      </c>
      <c r="J81" s="13" t="s">
        <v>87</v>
      </c>
    </row>
    <row r="82" spans="1:10" ht="15.6" x14ac:dyDescent="0.3">
      <c r="A82" s="7">
        <f>[1]Лист4!A92</f>
        <v>8</v>
      </c>
      <c r="B82" s="8" t="s">
        <v>224</v>
      </c>
      <c r="C82" s="9">
        <v>100</v>
      </c>
      <c r="D82" s="11">
        <v>2.4899999999999998</v>
      </c>
      <c r="E82" s="11">
        <f t="shared" si="2"/>
        <v>2.1999999999999997</v>
      </c>
      <c r="F82" s="10" t="e">
        <f>#REF!*C82</f>
        <v>#REF!</v>
      </c>
      <c r="G82" s="12" t="e">
        <f>#REF!*C82</f>
        <v>#REF!</v>
      </c>
      <c r="H82" s="12" t="e">
        <f t="shared" si="3"/>
        <v>#REF!</v>
      </c>
      <c r="J82" s="13" t="s">
        <v>7</v>
      </c>
    </row>
    <row r="83" spans="1:10" ht="15.6" x14ac:dyDescent="0.3">
      <c r="A83" s="7">
        <f>[1]Лист4!A94</f>
        <v>8</v>
      </c>
      <c r="B83" s="8" t="s">
        <v>225</v>
      </c>
      <c r="C83" s="9">
        <v>50</v>
      </c>
      <c r="D83" s="11">
        <v>5.42</v>
      </c>
      <c r="E83" s="11">
        <f t="shared" si="2"/>
        <v>4.7699999999999996</v>
      </c>
      <c r="F83" s="10" t="e">
        <f>#REF!*C83</f>
        <v>#REF!</v>
      </c>
      <c r="G83" s="12" t="e">
        <f>#REF!*C83</f>
        <v>#REF!</v>
      </c>
      <c r="H83" s="12" t="e">
        <f t="shared" si="3"/>
        <v>#REF!</v>
      </c>
      <c r="J83" s="13" t="s">
        <v>88</v>
      </c>
    </row>
    <row r="84" spans="1:10" ht="15.6" x14ac:dyDescent="0.3">
      <c r="A84" s="7">
        <f>[1]Лист4!A178</f>
        <v>8</v>
      </c>
      <c r="B84" s="8" t="s">
        <v>226</v>
      </c>
      <c r="C84" s="9">
        <v>80</v>
      </c>
      <c r="D84" s="11">
        <v>24.360000000000003</v>
      </c>
      <c r="E84" s="11">
        <f t="shared" si="2"/>
        <v>21.44</v>
      </c>
      <c r="F84" s="10" t="e">
        <f>#REF!*C84</f>
        <v>#REF!</v>
      </c>
      <c r="G84" s="12" t="e">
        <f>#REF!*C84</f>
        <v>#REF!</v>
      </c>
      <c r="H84" s="12" t="e">
        <f t="shared" si="3"/>
        <v>#REF!</v>
      </c>
      <c r="J84" s="13" t="s">
        <v>89</v>
      </c>
    </row>
    <row r="85" spans="1:10" ht="15.6" x14ac:dyDescent="0.3">
      <c r="A85" s="7">
        <f>[1]Лист4!A135</f>
        <v>8</v>
      </c>
      <c r="B85" s="8" t="s">
        <v>227</v>
      </c>
      <c r="C85" s="9">
        <v>160</v>
      </c>
      <c r="D85" s="11">
        <v>5.8199999999999994</v>
      </c>
      <c r="E85" s="11">
        <f t="shared" si="2"/>
        <v>5.13</v>
      </c>
      <c r="F85" s="10" t="e">
        <f>#REF!*C85</f>
        <v>#REF!</v>
      </c>
      <c r="G85" s="12" t="e">
        <f>#REF!*C85</f>
        <v>#REF!</v>
      </c>
      <c r="H85" s="12" t="e">
        <f t="shared" si="3"/>
        <v>#REF!</v>
      </c>
      <c r="J85" s="13" t="s">
        <v>90</v>
      </c>
    </row>
    <row r="86" spans="1:10" ht="15.6" x14ac:dyDescent="0.3">
      <c r="A86" s="7">
        <f>[1]Лист4!A127</f>
        <v>8</v>
      </c>
      <c r="B86" s="8" t="s">
        <v>228</v>
      </c>
      <c r="C86" s="9">
        <v>100</v>
      </c>
      <c r="D86" s="11">
        <v>3.4299999999999997</v>
      </c>
      <c r="E86" s="11">
        <f t="shared" si="2"/>
        <v>3.0199999999999996</v>
      </c>
      <c r="F86" s="10" t="e">
        <f>#REF!*C86</f>
        <v>#REF!</v>
      </c>
      <c r="G86" s="12" t="e">
        <f>#REF!*C86</f>
        <v>#REF!</v>
      </c>
      <c r="H86" s="12" t="e">
        <f t="shared" si="3"/>
        <v>#REF!</v>
      </c>
      <c r="J86" s="13" t="s">
        <v>91</v>
      </c>
    </row>
    <row r="87" spans="1:10" ht="15.6" x14ac:dyDescent="0.3">
      <c r="A87" s="7">
        <f>[1]Лист4!A130</f>
        <v>8</v>
      </c>
      <c r="B87" s="8" t="s">
        <v>229</v>
      </c>
      <c r="C87" s="9">
        <v>240</v>
      </c>
      <c r="D87" s="11">
        <v>2.17</v>
      </c>
      <c r="E87" s="11">
        <f t="shared" si="2"/>
        <v>1.91</v>
      </c>
      <c r="F87" s="10" t="e">
        <f>#REF!*C87</f>
        <v>#REF!</v>
      </c>
      <c r="G87" s="12" t="e">
        <f>#REF!*C87</f>
        <v>#REF!</v>
      </c>
      <c r="H87" s="12" t="e">
        <f t="shared" si="3"/>
        <v>#REF!</v>
      </c>
      <c r="J87" s="13" t="s">
        <v>92</v>
      </c>
    </row>
    <row r="88" spans="1:10" ht="15.6" x14ac:dyDescent="0.3">
      <c r="A88" s="7">
        <f>[1]Лист4!A133</f>
        <v>8</v>
      </c>
      <c r="B88" s="8" t="s">
        <v>230</v>
      </c>
      <c r="C88" s="9">
        <v>160</v>
      </c>
      <c r="D88" s="11">
        <v>2.0799999999999996</v>
      </c>
      <c r="E88" s="11">
        <f t="shared" si="2"/>
        <v>1.84</v>
      </c>
      <c r="F88" s="10" t="e">
        <f>#REF!*C88</f>
        <v>#REF!</v>
      </c>
      <c r="G88" s="12" t="e">
        <f>#REF!*C88</f>
        <v>#REF!</v>
      </c>
      <c r="H88" s="12" t="e">
        <f t="shared" si="3"/>
        <v>#REF!</v>
      </c>
      <c r="J88" s="13" t="s">
        <v>93</v>
      </c>
    </row>
    <row r="89" spans="1:10" ht="15.6" x14ac:dyDescent="0.3">
      <c r="A89" s="7">
        <f>[1]Лист4!A131</f>
        <v>8</v>
      </c>
      <c r="B89" s="8" t="s">
        <v>231</v>
      </c>
      <c r="C89" s="9">
        <v>240</v>
      </c>
      <c r="D89" s="11">
        <v>3.48</v>
      </c>
      <c r="E89" s="11">
        <f t="shared" si="2"/>
        <v>3.07</v>
      </c>
      <c r="F89" s="10" t="e">
        <f>#REF!*C89</f>
        <v>#REF!</v>
      </c>
      <c r="G89" s="12" t="e">
        <f>#REF!*C89</f>
        <v>#REF!</v>
      </c>
      <c r="H89" s="12" t="e">
        <f t="shared" si="3"/>
        <v>#REF!</v>
      </c>
      <c r="J89" s="13" t="s">
        <v>94</v>
      </c>
    </row>
    <row r="90" spans="1:10" ht="15.6" x14ac:dyDescent="0.3">
      <c r="A90" s="7">
        <f>[1]Лист4!A132</f>
        <v>8</v>
      </c>
      <c r="B90" s="8" t="s">
        <v>232</v>
      </c>
      <c r="C90" s="9">
        <v>160</v>
      </c>
      <c r="D90" s="11">
        <v>2.0799999999999996</v>
      </c>
      <c r="E90" s="11">
        <f t="shared" si="2"/>
        <v>1.84</v>
      </c>
      <c r="F90" s="10" t="e">
        <f>#REF!*C90</f>
        <v>#REF!</v>
      </c>
      <c r="G90" s="12" t="e">
        <f>#REF!*C90</f>
        <v>#REF!</v>
      </c>
      <c r="H90" s="12" t="e">
        <f t="shared" si="3"/>
        <v>#REF!</v>
      </c>
      <c r="J90" s="13" t="s">
        <v>95</v>
      </c>
    </row>
    <row r="91" spans="1:10" ht="15.6" x14ac:dyDescent="0.3">
      <c r="A91" s="7">
        <f>[1]Лист4!A126</f>
        <v>8</v>
      </c>
      <c r="B91" s="8" t="s">
        <v>233</v>
      </c>
      <c r="C91" s="9">
        <v>45</v>
      </c>
      <c r="D91" s="11">
        <v>4.5599999999999996</v>
      </c>
      <c r="E91" s="11">
        <f t="shared" si="2"/>
        <v>4.0199999999999996</v>
      </c>
      <c r="F91" s="10" t="e">
        <f>#REF!*C91</f>
        <v>#REF!</v>
      </c>
      <c r="G91" s="12" t="e">
        <f>#REF!*C91</f>
        <v>#REF!</v>
      </c>
      <c r="H91" s="12" t="e">
        <f t="shared" si="3"/>
        <v>#REF!</v>
      </c>
      <c r="J91" s="13" t="s">
        <v>96</v>
      </c>
    </row>
    <row r="92" spans="1:10" ht="15.6" x14ac:dyDescent="0.3">
      <c r="A92" s="7">
        <f>[1]Лист4!A129</f>
        <v>8</v>
      </c>
      <c r="B92" s="8" t="s">
        <v>234</v>
      </c>
      <c r="C92" s="9">
        <v>60</v>
      </c>
      <c r="D92" s="11">
        <v>2.8499999999999996</v>
      </c>
      <c r="E92" s="11">
        <f t="shared" si="2"/>
        <v>2.5099999999999998</v>
      </c>
      <c r="F92" s="10" t="e">
        <f>#REF!*C92</f>
        <v>#REF!</v>
      </c>
      <c r="G92" s="12" t="e">
        <f>#REF!*C92</f>
        <v>#REF!</v>
      </c>
      <c r="H92" s="12" t="e">
        <f t="shared" si="3"/>
        <v>#REF!</v>
      </c>
      <c r="J92" s="13" t="s">
        <v>97</v>
      </c>
    </row>
    <row r="93" spans="1:10" ht="15.6" x14ac:dyDescent="0.3">
      <c r="A93" s="7">
        <f>[1]Лист4!A128</f>
        <v>8</v>
      </c>
      <c r="B93" s="8" t="s">
        <v>235</v>
      </c>
      <c r="C93" s="9">
        <v>80</v>
      </c>
      <c r="D93" s="11">
        <v>3.9699999999999998</v>
      </c>
      <c r="E93" s="11">
        <f t="shared" si="2"/>
        <v>3.5</v>
      </c>
      <c r="F93" s="10" t="e">
        <f>#REF!*C93</f>
        <v>#REF!</v>
      </c>
      <c r="G93" s="12" t="e">
        <f>#REF!*C93</f>
        <v>#REF!</v>
      </c>
      <c r="H93" s="12" t="e">
        <f t="shared" si="3"/>
        <v>#REF!</v>
      </c>
      <c r="J93" s="13" t="s">
        <v>98</v>
      </c>
    </row>
    <row r="94" spans="1:10" ht="15.6" x14ac:dyDescent="0.3">
      <c r="A94" s="7">
        <f>[1]Лист4!A147</f>
        <v>8</v>
      </c>
      <c r="B94" s="8" t="s">
        <v>236</v>
      </c>
      <c r="C94" s="9">
        <v>40</v>
      </c>
      <c r="D94" s="11">
        <v>5.0599999999999996</v>
      </c>
      <c r="E94" s="11">
        <f t="shared" si="2"/>
        <v>4.46</v>
      </c>
      <c r="F94" s="10" t="e">
        <f>#REF!*C94</f>
        <v>#REF!</v>
      </c>
      <c r="G94" s="12" t="e">
        <f>#REF!*C94</f>
        <v>#REF!</v>
      </c>
      <c r="H94" s="12" t="e">
        <f t="shared" si="3"/>
        <v>#REF!</v>
      </c>
      <c r="J94" s="13" t="s">
        <v>99</v>
      </c>
    </row>
    <row r="95" spans="1:10" ht="15.6" x14ac:dyDescent="0.3">
      <c r="A95" s="7">
        <f>[1]Лист4!A143</f>
        <v>8</v>
      </c>
      <c r="B95" s="8" t="s">
        <v>237</v>
      </c>
      <c r="C95" s="9">
        <v>100</v>
      </c>
      <c r="D95" s="11">
        <v>29.19</v>
      </c>
      <c r="E95" s="11">
        <f t="shared" si="2"/>
        <v>25.69</v>
      </c>
      <c r="F95" s="10" t="e">
        <f>#REF!*C95</f>
        <v>#REF!</v>
      </c>
      <c r="G95" s="12" t="e">
        <f>#REF!*C95</f>
        <v>#REF!</v>
      </c>
      <c r="H95" s="12" t="e">
        <f t="shared" si="3"/>
        <v>#REF!</v>
      </c>
      <c r="J95" s="13" t="s">
        <v>11</v>
      </c>
    </row>
    <row r="96" spans="1:10" ht="15.6" x14ac:dyDescent="0.3">
      <c r="A96" s="7">
        <f>[1]Лист4!A141</f>
        <v>8</v>
      </c>
      <c r="B96" s="8" t="s">
        <v>238</v>
      </c>
      <c r="C96" s="9">
        <v>470</v>
      </c>
      <c r="D96" s="11">
        <v>22.380000000000003</v>
      </c>
      <c r="E96" s="11">
        <f t="shared" si="2"/>
        <v>19.700000000000003</v>
      </c>
      <c r="F96" s="10" t="e">
        <f>#REF!*C96</f>
        <v>#REF!</v>
      </c>
      <c r="G96" s="12" t="e">
        <f>#REF!*C96</f>
        <v>#REF!</v>
      </c>
      <c r="H96" s="12" t="e">
        <f t="shared" si="3"/>
        <v>#REF!</v>
      </c>
      <c r="J96" s="13" t="s">
        <v>100</v>
      </c>
    </row>
    <row r="97" spans="1:10" ht="15.6" x14ac:dyDescent="0.3">
      <c r="A97" s="7">
        <f>[1]Лист4!A144</f>
        <v>8</v>
      </c>
      <c r="B97" s="8" t="s">
        <v>239</v>
      </c>
      <c r="C97" s="9">
        <v>220</v>
      </c>
      <c r="D97" s="11">
        <v>31.98</v>
      </c>
      <c r="E97" s="11">
        <f t="shared" ref="E97:E160" si="4">ROUNDUP(D97*0.88,2)</f>
        <v>28.150000000000002</v>
      </c>
      <c r="F97" s="10" t="e">
        <f>#REF!*C97</f>
        <v>#REF!</v>
      </c>
      <c r="G97" s="12" t="e">
        <f>#REF!*C97</f>
        <v>#REF!</v>
      </c>
      <c r="H97" s="12" t="e">
        <f t="shared" ref="H97:H160" si="5">G97-F97</f>
        <v>#REF!</v>
      </c>
      <c r="J97" s="13" t="s">
        <v>101</v>
      </c>
    </row>
    <row r="98" spans="1:10" ht="15.6" x14ac:dyDescent="0.3">
      <c r="A98" s="7">
        <f>[1]Лист4!A142</f>
        <v>8</v>
      </c>
      <c r="B98" s="8" t="s">
        <v>240</v>
      </c>
      <c r="C98" s="9">
        <v>150</v>
      </c>
      <c r="D98" s="11">
        <v>19.990000000000002</v>
      </c>
      <c r="E98" s="11">
        <f t="shared" si="4"/>
        <v>17.600000000000001</v>
      </c>
      <c r="F98" s="10" t="e">
        <f>#REF!*C98</f>
        <v>#REF!</v>
      </c>
      <c r="G98" s="12" t="e">
        <f>#REF!*C98</f>
        <v>#REF!</v>
      </c>
      <c r="H98" s="12" t="e">
        <f t="shared" si="5"/>
        <v>#REF!</v>
      </c>
      <c r="J98" s="13" t="s">
        <v>102</v>
      </c>
    </row>
    <row r="99" spans="1:10" ht="15.6" x14ac:dyDescent="0.3">
      <c r="A99" s="7">
        <f>[1]Лист4!A138</f>
        <v>8</v>
      </c>
      <c r="B99" s="8" t="s">
        <v>241</v>
      </c>
      <c r="C99" s="9">
        <v>30</v>
      </c>
      <c r="D99" s="11">
        <v>24.900000000000002</v>
      </c>
      <c r="E99" s="11">
        <f t="shared" si="4"/>
        <v>21.92</v>
      </c>
      <c r="F99" s="10" t="e">
        <f>#REF!*C99</f>
        <v>#REF!</v>
      </c>
      <c r="G99" s="12" t="e">
        <f>#REF!*C99</f>
        <v>#REF!</v>
      </c>
      <c r="H99" s="12" t="e">
        <f t="shared" si="5"/>
        <v>#REF!</v>
      </c>
      <c r="J99" s="13" t="s">
        <v>103</v>
      </c>
    </row>
    <row r="100" spans="1:10" ht="15.6" x14ac:dyDescent="0.3">
      <c r="A100" s="7">
        <f>[1]Лист4!A140</f>
        <v>8</v>
      </c>
      <c r="B100" s="8" t="s">
        <v>242</v>
      </c>
      <c r="C100" s="9">
        <v>580</v>
      </c>
      <c r="D100" s="11">
        <v>20.12</v>
      </c>
      <c r="E100" s="11">
        <f t="shared" si="4"/>
        <v>17.71</v>
      </c>
      <c r="F100" s="10" t="e">
        <f>#REF!*C100</f>
        <v>#REF!</v>
      </c>
      <c r="G100" s="12" t="e">
        <f>#REF!*C100</f>
        <v>#REF!</v>
      </c>
      <c r="H100" s="12" t="e">
        <f t="shared" si="5"/>
        <v>#REF!</v>
      </c>
      <c r="J100" s="13" t="s">
        <v>104</v>
      </c>
    </row>
    <row r="101" spans="1:10" ht="15.6" x14ac:dyDescent="0.3">
      <c r="A101" s="7">
        <f>[1]Лист4!A145</f>
        <v>8</v>
      </c>
      <c r="B101" s="8" t="s">
        <v>243</v>
      </c>
      <c r="C101" s="9">
        <v>100</v>
      </c>
      <c r="D101" s="11">
        <v>17.510000000000002</v>
      </c>
      <c r="E101" s="11">
        <f t="shared" si="4"/>
        <v>15.41</v>
      </c>
      <c r="F101" s="10" t="e">
        <f>#REF!*C101</f>
        <v>#REF!</v>
      </c>
      <c r="G101" s="12" t="e">
        <f>#REF!*C101</f>
        <v>#REF!</v>
      </c>
      <c r="H101" s="12" t="e">
        <f t="shared" si="5"/>
        <v>#REF!</v>
      </c>
      <c r="J101" s="13" t="s">
        <v>105</v>
      </c>
    </row>
    <row r="102" spans="1:10" ht="15.6" x14ac:dyDescent="0.3">
      <c r="A102" s="7">
        <f>[1]Лист4!A139</f>
        <v>8</v>
      </c>
      <c r="B102" s="8" t="s">
        <v>244</v>
      </c>
      <c r="C102" s="9">
        <v>30</v>
      </c>
      <c r="D102" s="11">
        <v>23.32</v>
      </c>
      <c r="E102" s="11">
        <f t="shared" si="4"/>
        <v>20.53</v>
      </c>
      <c r="F102" s="10" t="e">
        <f>#REF!*C102</f>
        <v>#REF!</v>
      </c>
      <c r="G102" s="12" t="e">
        <f>#REF!*C102</f>
        <v>#REF!</v>
      </c>
      <c r="H102" s="12" t="e">
        <f t="shared" si="5"/>
        <v>#REF!</v>
      </c>
      <c r="J102" s="13" t="s">
        <v>106</v>
      </c>
    </row>
    <row r="103" spans="1:10" ht="15.6" x14ac:dyDescent="0.3">
      <c r="A103" s="7">
        <f>[1]Лист4!A137</f>
        <v>8</v>
      </c>
      <c r="B103" s="8" t="s">
        <v>245</v>
      </c>
      <c r="C103" s="9">
        <v>50</v>
      </c>
      <c r="D103" s="11">
        <v>24.09</v>
      </c>
      <c r="E103" s="11">
        <f t="shared" si="4"/>
        <v>21.200000000000003</v>
      </c>
      <c r="F103" s="10" t="e">
        <f>#REF!*C103</f>
        <v>#REF!</v>
      </c>
      <c r="G103" s="12" t="e">
        <f>#REF!*C103</f>
        <v>#REF!</v>
      </c>
      <c r="H103" s="12" t="e">
        <f t="shared" si="5"/>
        <v>#REF!</v>
      </c>
      <c r="J103" s="13" t="s">
        <v>107</v>
      </c>
    </row>
    <row r="104" spans="1:10" ht="15.6" x14ac:dyDescent="0.3">
      <c r="A104" s="7">
        <f>[1]Лист4!A146</f>
        <v>8</v>
      </c>
      <c r="B104" s="8" t="s">
        <v>246</v>
      </c>
      <c r="C104" s="9">
        <v>220</v>
      </c>
      <c r="D104" s="11">
        <v>25.26</v>
      </c>
      <c r="E104" s="11">
        <f t="shared" si="4"/>
        <v>22.23</v>
      </c>
      <c r="F104" s="10" t="e">
        <f>#REF!*C104</f>
        <v>#REF!</v>
      </c>
      <c r="G104" s="12" t="e">
        <f>#REF!*C104</f>
        <v>#REF!</v>
      </c>
      <c r="H104" s="12" t="e">
        <f t="shared" si="5"/>
        <v>#REF!</v>
      </c>
      <c r="J104" s="13" t="s">
        <v>108</v>
      </c>
    </row>
    <row r="105" spans="1:10" ht="15.6" x14ac:dyDescent="0.3">
      <c r="A105" s="7">
        <f>[1]Лист4!A103</f>
        <v>8</v>
      </c>
      <c r="B105" s="8" t="s">
        <v>247</v>
      </c>
      <c r="C105" s="9">
        <v>60</v>
      </c>
      <c r="D105" s="11">
        <v>6.05</v>
      </c>
      <c r="E105" s="11">
        <f t="shared" si="4"/>
        <v>5.33</v>
      </c>
      <c r="F105" s="10" t="e">
        <f>#REF!*C105</f>
        <v>#REF!</v>
      </c>
      <c r="G105" s="12" t="e">
        <f>#REF!*C105</f>
        <v>#REF!</v>
      </c>
      <c r="H105" s="12" t="e">
        <f t="shared" si="5"/>
        <v>#REF!</v>
      </c>
      <c r="J105" s="13" t="s">
        <v>109</v>
      </c>
    </row>
    <row r="106" spans="1:10" ht="15.6" x14ac:dyDescent="0.3">
      <c r="A106" s="7">
        <f>[1]Лист4!A104</f>
        <v>8</v>
      </c>
      <c r="B106" s="8" t="s">
        <v>248</v>
      </c>
      <c r="C106" s="9">
        <v>80</v>
      </c>
      <c r="D106" s="11">
        <v>7.13</v>
      </c>
      <c r="E106" s="11">
        <f t="shared" si="4"/>
        <v>6.2799999999999994</v>
      </c>
      <c r="F106" s="10" t="e">
        <f>#REF!*C106</f>
        <v>#REF!</v>
      </c>
      <c r="G106" s="12" t="e">
        <f>#REF!*C106</f>
        <v>#REF!</v>
      </c>
      <c r="H106" s="12" t="e">
        <f t="shared" si="5"/>
        <v>#REF!</v>
      </c>
      <c r="J106" s="13" t="s">
        <v>110</v>
      </c>
    </row>
    <row r="107" spans="1:10" ht="15.6" x14ac:dyDescent="0.3">
      <c r="A107" s="7">
        <f>[1]Лист4!A149</f>
        <v>8</v>
      </c>
      <c r="B107" s="8" t="s">
        <v>249</v>
      </c>
      <c r="C107" s="9">
        <v>200</v>
      </c>
      <c r="D107" s="11">
        <v>2.19</v>
      </c>
      <c r="E107" s="11">
        <f t="shared" si="4"/>
        <v>1.93</v>
      </c>
      <c r="F107" s="10" t="e">
        <f>#REF!*C107</f>
        <v>#REF!</v>
      </c>
      <c r="G107" s="12" t="e">
        <f>#REF!*C107</f>
        <v>#REF!</v>
      </c>
      <c r="H107" s="12" t="e">
        <f t="shared" si="5"/>
        <v>#REF!</v>
      </c>
      <c r="J107" s="13" t="s">
        <v>111</v>
      </c>
    </row>
    <row r="108" spans="1:10" ht="15.6" x14ac:dyDescent="0.3">
      <c r="A108" s="7">
        <f>[1]Лист4!A148</f>
        <v>8</v>
      </c>
      <c r="B108" s="8" t="s">
        <v>250</v>
      </c>
      <c r="C108" s="9">
        <v>250</v>
      </c>
      <c r="D108" s="11">
        <v>1.99</v>
      </c>
      <c r="E108" s="11">
        <f t="shared" si="4"/>
        <v>1.76</v>
      </c>
      <c r="F108" s="10" t="e">
        <f>#REF!*C108</f>
        <v>#REF!</v>
      </c>
      <c r="G108" s="12" t="e">
        <f>#REF!*C108</f>
        <v>#REF!</v>
      </c>
      <c r="H108" s="12" t="e">
        <f t="shared" si="5"/>
        <v>#REF!</v>
      </c>
      <c r="J108" s="13" t="s">
        <v>112</v>
      </c>
    </row>
    <row r="109" spans="1:10" ht="15.6" x14ac:dyDescent="0.3">
      <c r="A109" s="7">
        <f>[1]Лист4!A185</f>
        <v>8</v>
      </c>
      <c r="B109" s="8" t="s">
        <v>251</v>
      </c>
      <c r="C109" s="9">
        <v>120</v>
      </c>
      <c r="D109" s="11">
        <v>15.16</v>
      </c>
      <c r="E109" s="11">
        <f t="shared" si="4"/>
        <v>13.35</v>
      </c>
      <c r="F109" s="10" t="e">
        <f>#REF!*C109</f>
        <v>#REF!</v>
      </c>
      <c r="G109" s="12" t="e">
        <f>#REF!*C109</f>
        <v>#REF!</v>
      </c>
      <c r="H109" s="12" t="e">
        <f t="shared" si="5"/>
        <v>#REF!</v>
      </c>
      <c r="J109" s="13" t="s">
        <v>113</v>
      </c>
    </row>
    <row r="110" spans="1:10" ht="15.6" x14ac:dyDescent="0.3">
      <c r="A110" s="7">
        <f>[1]Лист4!A179</f>
        <v>8</v>
      </c>
      <c r="B110" s="8" t="s">
        <v>252</v>
      </c>
      <c r="C110" s="9">
        <v>40</v>
      </c>
      <c r="D110" s="11">
        <v>8.26</v>
      </c>
      <c r="E110" s="11">
        <f t="shared" si="4"/>
        <v>7.27</v>
      </c>
      <c r="F110" s="10" t="e">
        <f>#REF!*C110</f>
        <v>#REF!</v>
      </c>
      <c r="G110" s="12" t="e">
        <f>#REF!*C110</f>
        <v>#REF!</v>
      </c>
      <c r="H110" s="12" t="e">
        <f t="shared" si="5"/>
        <v>#REF!</v>
      </c>
      <c r="J110" s="13" t="s">
        <v>114</v>
      </c>
    </row>
    <row r="111" spans="1:10" ht="15.6" x14ac:dyDescent="0.3">
      <c r="A111" s="7">
        <f>[1]Лист4!A182</f>
        <v>8</v>
      </c>
      <c r="B111" s="8" t="s">
        <v>253</v>
      </c>
      <c r="C111" s="9">
        <v>40</v>
      </c>
      <c r="D111" s="11">
        <v>11.42</v>
      </c>
      <c r="E111" s="11">
        <f t="shared" si="4"/>
        <v>10.049999999999999</v>
      </c>
      <c r="F111" s="10" t="e">
        <f>#REF!*C111</f>
        <v>#REF!</v>
      </c>
      <c r="G111" s="12" t="e">
        <f>#REF!*C111</f>
        <v>#REF!</v>
      </c>
      <c r="H111" s="12" t="e">
        <f t="shared" si="5"/>
        <v>#REF!</v>
      </c>
      <c r="J111" s="13" t="s">
        <v>115</v>
      </c>
    </row>
    <row r="112" spans="1:10" ht="15.6" x14ac:dyDescent="0.3">
      <c r="A112" s="7">
        <f>[1]Лист4!A184</f>
        <v>8</v>
      </c>
      <c r="B112" s="8" t="s">
        <v>254</v>
      </c>
      <c r="C112" s="9">
        <v>40</v>
      </c>
      <c r="D112" s="11">
        <v>12.14</v>
      </c>
      <c r="E112" s="11">
        <f t="shared" si="4"/>
        <v>10.69</v>
      </c>
      <c r="F112" s="10" t="e">
        <f>#REF!*C112</f>
        <v>#REF!</v>
      </c>
      <c r="G112" s="12" t="e">
        <f>#REF!*C112</f>
        <v>#REF!</v>
      </c>
      <c r="H112" s="12" t="e">
        <f t="shared" si="5"/>
        <v>#REF!</v>
      </c>
      <c r="J112" s="13" t="s">
        <v>12</v>
      </c>
    </row>
    <row r="113" spans="1:10" ht="15.6" x14ac:dyDescent="0.3">
      <c r="A113" s="7">
        <f>[1]Лист4!A183</f>
        <v>8</v>
      </c>
      <c r="B113" s="8" t="s">
        <v>255</v>
      </c>
      <c r="C113" s="9">
        <v>40</v>
      </c>
      <c r="D113" s="11">
        <v>8.08</v>
      </c>
      <c r="E113" s="11">
        <f t="shared" si="4"/>
        <v>7.12</v>
      </c>
      <c r="F113" s="10" t="e">
        <f>#REF!*C113</f>
        <v>#REF!</v>
      </c>
      <c r="G113" s="12" t="e">
        <f>#REF!*C113</f>
        <v>#REF!</v>
      </c>
      <c r="H113" s="12" t="e">
        <f t="shared" si="5"/>
        <v>#REF!</v>
      </c>
      <c r="J113" s="13" t="s">
        <v>116</v>
      </c>
    </row>
    <row r="114" spans="1:10" ht="15.6" x14ac:dyDescent="0.3">
      <c r="A114" s="7">
        <f>[1]Лист4!A181</f>
        <v>8</v>
      </c>
      <c r="B114" s="8" t="s">
        <v>256</v>
      </c>
      <c r="C114" s="9">
        <v>80</v>
      </c>
      <c r="D114" s="11">
        <v>12.77</v>
      </c>
      <c r="E114" s="11">
        <f t="shared" si="4"/>
        <v>11.24</v>
      </c>
      <c r="F114" s="10" t="e">
        <f>#REF!*C114</f>
        <v>#REF!</v>
      </c>
      <c r="G114" s="12" t="e">
        <f>#REF!*C114</f>
        <v>#REF!</v>
      </c>
      <c r="H114" s="12" t="e">
        <f t="shared" si="5"/>
        <v>#REF!</v>
      </c>
      <c r="J114" s="13" t="s">
        <v>117</v>
      </c>
    </row>
    <row r="115" spans="1:10" ht="15.6" x14ac:dyDescent="0.3">
      <c r="A115" s="7">
        <f>[1]Лист4!A180</f>
        <v>8</v>
      </c>
      <c r="B115" s="8" t="s">
        <v>257</v>
      </c>
      <c r="C115" s="9">
        <v>40</v>
      </c>
      <c r="D115" s="11">
        <v>11.6</v>
      </c>
      <c r="E115" s="11">
        <f t="shared" si="4"/>
        <v>10.209999999999999</v>
      </c>
      <c r="F115" s="10" t="e">
        <f>#REF!*C115</f>
        <v>#REF!</v>
      </c>
      <c r="G115" s="12" t="e">
        <f>#REF!*C115</f>
        <v>#REF!</v>
      </c>
      <c r="H115" s="12" t="e">
        <f t="shared" si="5"/>
        <v>#REF!</v>
      </c>
      <c r="J115" s="13" t="s">
        <v>118</v>
      </c>
    </row>
    <row r="116" spans="1:10" ht="15.6" x14ac:dyDescent="0.3">
      <c r="A116" s="7">
        <f>[1]Лист4!A95</f>
        <v>8</v>
      </c>
      <c r="B116" s="8" t="s">
        <v>258</v>
      </c>
      <c r="C116" s="9">
        <v>40</v>
      </c>
      <c r="D116" s="11">
        <v>7.45</v>
      </c>
      <c r="E116" s="11">
        <f t="shared" si="4"/>
        <v>6.56</v>
      </c>
      <c r="F116" s="10" t="e">
        <f>#REF!*C116</f>
        <v>#REF!</v>
      </c>
      <c r="G116" s="12" t="e">
        <f>#REF!*C116</f>
        <v>#REF!</v>
      </c>
      <c r="H116" s="12" t="e">
        <f t="shared" si="5"/>
        <v>#REF!</v>
      </c>
      <c r="J116" s="13" t="s">
        <v>119</v>
      </c>
    </row>
    <row r="117" spans="1:10" ht="15.6" x14ac:dyDescent="0.3">
      <c r="A117" s="7">
        <f>[1]Лист4!A96</f>
        <v>8</v>
      </c>
      <c r="B117" s="8" t="s">
        <v>259</v>
      </c>
      <c r="C117" s="9">
        <v>40</v>
      </c>
      <c r="D117" s="11">
        <v>6.2299999999999995</v>
      </c>
      <c r="E117" s="11">
        <f t="shared" si="4"/>
        <v>5.49</v>
      </c>
      <c r="F117" s="10" t="e">
        <f>#REF!*C117</f>
        <v>#REF!</v>
      </c>
      <c r="G117" s="12" t="e">
        <f>#REF!*C117</f>
        <v>#REF!</v>
      </c>
      <c r="H117" s="12" t="e">
        <f t="shared" si="5"/>
        <v>#REF!</v>
      </c>
      <c r="J117" s="13" t="s">
        <v>120</v>
      </c>
    </row>
    <row r="118" spans="1:10" ht="15.6" x14ac:dyDescent="0.3">
      <c r="A118" s="7">
        <f>[1]Лист4!A97</f>
        <v>8</v>
      </c>
      <c r="B118" s="8" t="s">
        <v>260</v>
      </c>
      <c r="C118" s="9">
        <v>90</v>
      </c>
      <c r="D118" s="11">
        <v>5.8199999999999994</v>
      </c>
      <c r="E118" s="11">
        <f t="shared" si="4"/>
        <v>5.13</v>
      </c>
      <c r="F118" s="10" t="e">
        <f>#REF!*C118</f>
        <v>#REF!</v>
      </c>
      <c r="G118" s="12" t="e">
        <f>#REF!*C118</f>
        <v>#REF!</v>
      </c>
      <c r="H118" s="12" t="e">
        <f t="shared" si="5"/>
        <v>#REF!</v>
      </c>
      <c r="J118" s="13" t="s">
        <v>121</v>
      </c>
    </row>
    <row r="119" spans="1:10" ht="15.6" x14ac:dyDescent="0.3">
      <c r="A119" s="7">
        <f>[1]Лист4!A101</f>
        <v>8</v>
      </c>
      <c r="B119" s="8" t="s">
        <v>261</v>
      </c>
      <c r="C119" s="9">
        <v>25</v>
      </c>
      <c r="D119" s="11">
        <v>7.31</v>
      </c>
      <c r="E119" s="11">
        <f t="shared" si="4"/>
        <v>6.4399999999999995</v>
      </c>
      <c r="F119" s="10" t="e">
        <f>#REF!*C119</f>
        <v>#REF!</v>
      </c>
      <c r="G119" s="12" t="e">
        <f>#REF!*C119</f>
        <v>#REF!</v>
      </c>
      <c r="H119" s="12" t="e">
        <f t="shared" si="5"/>
        <v>#REF!</v>
      </c>
      <c r="J119" s="13" t="s">
        <v>122</v>
      </c>
    </row>
    <row r="120" spans="1:10" ht="15.6" x14ac:dyDescent="0.3">
      <c r="A120" s="7">
        <f>[1]Лист4!A102</f>
        <v>8</v>
      </c>
      <c r="B120" s="8" t="s">
        <v>262</v>
      </c>
      <c r="C120" s="9">
        <v>100</v>
      </c>
      <c r="D120" s="11">
        <v>2.5799999999999996</v>
      </c>
      <c r="E120" s="11">
        <f t="shared" si="4"/>
        <v>2.2799999999999998</v>
      </c>
      <c r="F120" s="10" t="e">
        <f>#REF!*C120</f>
        <v>#REF!</v>
      </c>
      <c r="G120" s="12" t="e">
        <f>#REF!*C120</f>
        <v>#REF!</v>
      </c>
      <c r="H120" s="12" t="e">
        <f t="shared" si="5"/>
        <v>#REF!</v>
      </c>
      <c r="J120" s="13" t="s">
        <v>123</v>
      </c>
    </row>
    <row r="121" spans="1:10" ht="15.6" x14ac:dyDescent="0.3">
      <c r="A121" s="7">
        <f>[1]Лист4!A150</f>
        <v>8</v>
      </c>
      <c r="B121" s="8" t="s">
        <v>263</v>
      </c>
      <c r="C121" s="9">
        <v>20</v>
      </c>
      <c r="D121" s="11">
        <v>13.45</v>
      </c>
      <c r="E121" s="11">
        <f t="shared" si="4"/>
        <v>11.84</v>
      </c>
      <c r="F121" s="10" t="e">
        <f>#REF!*C121</f>
        <v>#REF!</v>
      </c>
      <c r="G121" s="12" t="e">
        <f>#REF!*C121</f>
        <v>#REF!</v>
      </c>
      <c r="H121" s="12" t="e">
        <f t="shared" si="5"/>
        <v>#REF!</v>
      </c>
      <c r="J121" s="13" t="s">
        <v>124</v>
      </c>
    </row>
    <row r="122" spans="1:10" ht="15.6" x14ac:dyDescent="0.3">
      <c r="A122" s="7">
        <f>[1]Лист4!A151</f>
        <v>8</v>
      </c>
      <c r="B122" s="8" t="s">
        <v>264</v>
      </c>
      <c r="C122" s="9">
        <v>200</v>
      </c>
      <c r="D122" s="11">
        <v>3.48</v>
      </c>
      <c r="E122" s="11">
        <f t="shared" si="4"/>
        <v>3.07</v>
      </c>
      <c r="F122" s="10" t="e">
        <f>#REF!*C122</f>
        <v>#REF!</v>
      </c>
      <c r="G122" s="12" t="e">
        <f>#REF!*C122</f>
        <v>#REF!</v>
      </c>
      <c r="H122" s="12" t="e">
        <f t="shared" si="5"/>
        <v>#REF!</v>
      </c>
      <c r="J122" s="13" t="s">
        <v>125</v>
      </c>
    </row>
    <row r="123" spans="1:10" ht="15.6" x14ac:dyDescent="0.3">
      <c r="A123" s="7">
        <f>[1]Лист4!A157</f>
        <v>8</v>
      </c>
      <c r="B123" s="8" t="s">
        <v>265</v>
      </c>
      <c r="C123" s="9">
        <v>200</v>
      </c>
      <c r="D123" s="11">
        <v>4.74</v>
      </c>
      <c r="E123" s="11">
        <f t="shared" si="4"/>
        <v>4.18</v>
      </c>
      <c r="F123" s="10" t="e">
        <f>#REF!*C123</f>
        <v>#REF!</v>
      </c>
      <c r="G123" s="12" t="e">
        <f>#REF!*C123</f>
        <v>#REF!</v>
      </c>
      <c r="H123" s="12" t="e">
        <f t="shared" si="5"/>
        <v>#REF!</v>
      </c>
      <c r="J123" s="13" t="s">
        <v>126</v>
      </c>
    </row>
    <row r="124" spans="1:10" ht="15.6" x14ac:dyDescent="0.3">
      <c r="A124" s="7">
        <f>[1]Лист4!A152</f>
        <v>8</v>
      </c>
      <c r="B124" s="8" t="s">
        <v>266</v>
      </c>
      <c r="C124" s="9">
        <v>320</v>
      </c>
      <c r="D124" s="11">
        <v>3.34</v>
      </c>
      <c r="E124" s="11">
        <f t="shared" si="4"/>
        <v>2.94</v>
      </c>
      <c r="F124" s="10" t="e">
        <f>#REF!*C124</f>
        <v>#REF!</v>
      </c>
      <c r="G124" s="12" t="e">
        <f>#REF!*C124</f>
        <v>#REF!</v>
      </c>
      <c r="H124" s="12" t="e">
        <f t="shared" si="5"/>
        <v>#REF!</v>
      </c>
      <c r="J124" s="13" t="s">
        <v>8</v>
      </c>
    </row>
    <row r="125" spans="1:10" ht="15.6" x14ac:dyDescent="0.3">
      <c r="A125" s="7">
        <f>[1]Лист4!A159</f>
        <v>8</v>
      </c>
      <c r="B125" s="8" t="s">
        <v>267</v>
      </c>
      <c r="C125" s="9">
        <v>360</v>
      </c>
      <c r="D125" s="11">
        <v>4.5199999999999996</v>
      </c>
      <c r="E125" s="11">
        <f t="shared" si="4"/>
        <v>3.98</v>
      </c>
      <c r="F125" s="10" t="e">
        <f>#REF!*C125</f>
        <v>#REF!</v>
      </c>
      <c r="G125" s="12" t="e">
        <f>#REF!*C125</f>
        <v>#REF!</v>
      </c>
      <c r="H125" s="12" t="e">
        <f t="shared" si="5"/>
        <v>#REF!</v>
      </c>
      <c r="J125" s="13" t="s">
        <v>127</v>
      </c>
    </row>
    <row r="126" spans="1:10" ht="15.6" x14ac:dyDescent="0.3">
      <c r="A126" s="7">
        <f>[1]Лист4!A153</f>
        <v>8</v>
      </c>
      <c r="B126" s="8" t="s">
        <v>268</v>
      </c>
      <c r="C126" s="9">
        <v>120</v>
      </c>
      <c r="D126" s="11">
        <v>5.2799999999999994</v>
      </c>
      <c r="E126" s="11">
        <f t="shared" si="4"/>
        <v>4.6499999999999995</v>
      </c>
      <c r="F126" s="10" t="e">
        <f>#REF!*C126</f>
        <v>#REF!</v>
      </c>
      <c r="G126" s="12" t="e">
        <f>#REF!*C126</f>
        <v>#REF!</v>
      </c>
      <c r="H126" s="12" t="e">
        <f t="shared" si="5"/>
        <v>#REF!</v>
      </c>
      <c r="J126" s="13" t="s">
        <v>128</v>
      </c>
    </row>
    <row r="127" spans="1:10" ht="15.6" x14ac:dyDescent="0.3">
      <c r="A127" s="7">
        <f>[1]Лист4!A156</f>
        <v>8</v>
      </c>
      <c r="B127" s="8" t="s">
        <v>269</v>
      </c>
      <c r="C127" s="9">
        <v>200</v>
      </c>
      <c r="D127" s="11">
        <v>4.74</v>
      </c>
      <c r="E127" s="11">
        <f t="shared" si="4"/>
        <v>4.18</v>
      </c>
      <c r="F127" s="10" t="e">
        <f>#REF!*C127</f>
        <v>#REF!</v>
      </c>
      <c r="G127" s="12" t="e">
        <f>#REF!*C127</f>
        <v>#REF!</v>
      </c>
      <c r="H127" s="12" t="e">
        <f t="shared" si="5"/>
        <v>#REF!</v>
      </c>
      <c r="J127" s="13" t="s">
        <v>129</v>
      </c>
    </row>
    <row r="128" spans="1:10" ht="15.6" x14ac:dyDescent="0.3">
      <c r="A128" s="7">
        <f>[1]Лист4!A155</f>
        <v>8</v>
      </c>
      <c r="B128" s="8" t="s">
        <v>270</v>
      </c>
      <c r="C128" s="9">
        <v>860</v>
      </c>
      <c r="D128" s="11">
        <v>4.5199999999999996</v>
      </c>
      <c r="E128" s="11">
        <f t="shared" si="4"/>
        <v>3.98</v>
      </c>
      <c r="F128" s="10" t="e">
        <f>#REF!*C128</f>
        <v>#REF!</v>
      </c>
      <c r="G128" s="12" t="e">
        <f>#REF!*C128</f>
        <v>#REF!</v>
      </c>
      <c r="H128" s="12" t="e">
        <f t="shared" si="5"/>
        <v>#REF!</v>
      </c>
      <c r="J128" s="13" t="s">
        <v>13</v>
      </c>
    </row>
    <row r="129" spans="1:10" ht="15.6" x14ac:dyDescent="0.3">
      <c r="A129" s="7">
        <f>[1]Лист4!A158</f>
        <v>8</v>
      </c>
      <c r="B129" s="8" t="s">
        <v>271</v>
      </c>
      <c r="C129" s="9">
        <v>180</v>
      </c>
      <c r="D129" s="11">
        <v>4.74</v>
      </c>
      <c r="E129" s="11">
        <f t="shared" si="4"/>
        <v>4.18</v>
      </c>
      <c r="F129" s="10" t="e">
        <f>#REF!*C129</f>
        <v>#REF!</v>
      </c>
      <c r="G129" s="12" t="e">
        <f>#REF!*C129</f>
        <v>#REF!</v>
      </c>
      <c r="H129" s="12" t="e">
        <f t="shared" si="5"/>
        <v>#REF!</v>
      </c>
      <c r="J129" s="13" t="s">
        <v>130</v>
      </c>
    </row>
    <row r="130" spans="1:10" ht="15.6" x14ac:dyDescent="0.3">
      <c r="A130" s="7">
        <f>[1]Лист4!A154</f>
        <v>8</v>
      </c>
      <c r="B130" s="8" t="s">
        <v>272</v>
      </c>
      <c r="C130" s="9">
        <v>280</v>
      </c>
      <c r="D130" s="11">
        <v>4.34</v>
      </c>
      <c r="E130" s="11">
        <f t="shared" si="4"/>
        <v>3.82</v>
      </c>
      <c r="F130" s="10" t="e">
        <f>#REF!*C130</f>
        <v>#REF!</v>
      </c>
      <c r="G130" s="12" t="e">
        <f>#REF!*C130</f>
        <v>#REF!</v>
      </c>
      <c r="H130" s="12" t="e">
        <f t="shared" si="5"/>
        <v>#REF!</v>
      </c>
      <c r="J130" s="13" t="s">
        <v>131</v>
      </c>
    </row>
    <row r="131" spans="1:10" ht="15.6" x14ac:dyDescent="0.3">
      <c r="A131" s="7">
        <f>[1]Лист4!A160</f>
        <v>8</v>
      </c>
      <c r="B131" s="8" t="s">
        <v>273</v>
      </c>
      <c r="C131" s="9">
        <v>20</v>
      </c>
      <c r="D131" s="11">
        <v>23.82</v>
      </c>
      <c r="E131" s="11">
        <f t="shared" si="4"/>
        <v>20.970000000000002</v>
      </c>
      <c r="F131" s="10" t="e">
        <f>#REF!*C131</f>
        <v>#REF!</v>
      </c>
      <c r="G131" s="12" t="e">
        <f>#REF!*C131</f>
        <v>#REF!</v>
      </c>
      <c r="H131" s="12" t="e">
        <f t="shared" si="5"/>
        <v>#REF!</v>
      </c>
      <c r="J131" s="13" t="s">
        <v>132</v>
      </c>
    </row>
    <row r="132" spans="1:10" ht="15.6" x14ac:dyDescent="0.3">
      <c r="A132" s="7">
        <f>[1]Лист4!A161</f>
        <v>8</v>
      </c>
      <c r="B132" s="8" t="s">
        <v>274</v>
      </c>
      <c r="C132" s="9">
        <v>120</v>
      </c>
      <c r="D132" s="11">
        <v>3.48</v>
      </c>
      <c r="E132" s="11">
        <f t="shared" si="4"/>
        <v>3.07</v>
      </c>
      <c r="F132" s="10" t="e">
        <f>#REF!*C132</f>
        <v>#REF!</v>
      </c>
      <c r="G132" s="12" t="e">
        <f>#REF!*C132</f>
        <v>#REF!</v>
      </c>
      <c r="H132" s="12" t="e">
        <f t="shared" si="5"/>
        <v>#REF!</v>
      </c>
      <c r="J132" s="13" t="s">
        <v>133</v>
      </c>
    </row>
    <row r="133" spans="1:10" ht="15.6" x14ac:dyDescent="0.3">
      <c r="A133" s="7">
        <f>[1]Лист4!A163</f>
        <v>8</v>
      </c>
      <c r="B133" s="8" t="s">
        <v>275</v>
      </c>
      <c r="C133" s="9">
        <v>160</v>
      </c>
      <c r="D133" s="11">
        <v>4.34</v>
      </c>
      <c r="E133" s="11">
        <f t="shared" si="4"/>
        <v>3.82</v>
      </c>
      <c r="F133" s="10" t="e">
        <f>#REF!*C133</f>
        <v>#REF!</v>
      </c>
      <c r="G133" s="12" t="e">
        <f>#REF!*C133</f>
        <v>#REF!</v>
      </c>
      <c r="H133" s="12" t="e">
        <f t="shared" si="5"/>
        <v>#REF!</v>
      </c>
      <c r="J133" s="13" t="s">
        <v>9</v>
      </c>
    </row>
    <row r="134" spans="1:10" ht="15.6" x14ac:dyDescent="0.3">
      <c r="A134" s="7">
        <f>[1]Лист4!A162</f>
        <v>8</v>
      </c>
      <c r="B134" s="8" t="s">
        <v>276</v>
      </c>
      <c r="C134" s="9">
        <v>60</v>
      </c>
      <c r="D134" s="11">
        <v>4.88</v>
      </c>
      <c r="E134" s="11">
        <f t="shared" si="4"/>
        <v>4.3</v>
      </c>
      <c r="F134" s="10" t="e">
        <f>#REF!*C134</f>
        <v>#REF!</v>
      </c>
      <c r="G134" s="12" t="e">
        <f>#REF!*C134</f>
        <v>#REF!</v>
      </c>
      <c r="H134" s="12" t="e">
        <f t="shared" si="5"/>
        <v>#REF!</v>
      </c>
      <c r="J134" s="13" t="s">
        <v>10</v>
      </c>
    </row>
    <row r="135" spans="1:10" ht="15.6" x14ac:dyDescent="0.3">
      <c r="A135" s="7">
        <f>[1]Лист4!A169</f>
        <v>8</v>
      </c>
      <c r="B135" s="8" t="s">
        <v>277</v>
      </c>
      <c r="C135" s="9">
        <v>80</v>
      </c>
      <c r="D135" s="11">
        <v>9.66</v>
      </c>
      <c r="E135" s="11">
        <f t="shared" si="4"/>
        <v>8.51</v>
      </c>
      <c r="F135" s="10" t="e">
        <f>#REF!*C135</f>
        <v>#REF!</v>
      </c>
      <c r="G135" s="12" t="e">
        <f>#REF!*C135</f>
        <v>#REF!</v>
      </c>
      <c r="H135" s="12" t="e">
        <f t="shared" si="5"/>
        <v>#REF!</v>
      </c>
      <c r="J135" s="13" t="s">
        <v>134</v>
      </c>
    </row>
    <row r="136" spans="1:10" ht="15.6" x14ac:dyDescent="0.3">
      <c r="A136" s="7">
        <f>[1]Лист4!A165</f>
        <v>8</v>
      </c>
      <c r="B136" s="8" t="s">
        <v>278</v>
      </c>
      <c r="C136" s="9">
        <v>120</v>
      </c>
      <c r="D136" s="11">
        <v>6.05</v>
      </c>
      <c r="E136" s="11">
        <f t="shared" si="4"/>
        <v>5.33</v>
      </c>
      <c r="F136" s="10" t="e">
        <f>#REF!*C136</f>
        <v>#REF!</v>
      </c>
      <c r="G136" s="12" t="e">
        <f>#REF!*C136</f>
        <v>#REF!</v>
      </c>
      <c r="H136" s="12" t="e">
        <f t="shared" si="5"/>
        <v>#REF!</v>
      </c>
      <c r="J136" s="13" t="s">
        <v>135</v>
      </c>
    </row>
    <row r="137" spans="1:10" ht="15.6" x14ac:dyDescent="0.3">
      <c r="A137" s="7">
        <f>[1]Лист4!A170</f>
        <v>8</v>
      </c>
      <c r="B137" s="8" t="s">
        <v>279</v>
      </c>
      <c r="C137" s="9">
        <v>360</v>
      </c>
      <c r="D137" s="11">
        <v>10.02</v>
      </c>
      <c r="E137" s="11">
        <f t="shared" si="4"/>
        <v>8.82</v>
      </c>
      <c r="F137" s="10" t="e">
        <f>#REF!*C137</f>
        <v>#REF!</v>
      </c>
      <c r="G137" s="12" t="e">
        <f>#REF!*C137</f>
        <v>#REF!</v>
      </c>
      <c r="H137" s="12" t="e">
        <f t="shared" si="5"/>
        <v>#REF!</v>
      </c>
      <c r="J137" s="13" t="s">
        <v>136</v>
      </c>
    </row>
    <row r="138" spans="1:10" ht="15.6" x14ac:dyDescent="0.3">
      <c r="A138" s="7">
        <f>[1]Лист4!A166</f>
        <v>8</v>
      </c>
      <c r="B138" s="8" t="s">
        <v>280</v>
      </c>
      <c r="C138" s="9">
        <v>400</v>
      </c>
      <c r="D138" s="11">
        <v>12</v>
      </c>
      <c r="E138" s="11">
        <f t="shared" si="4"/>
        <v>10.56</v>
      </c>
      <c r="F138" s="10" t="e">
        <f>#REF!*C138</f>
        <v>#REF!</v>
      </c>
      <c r="G138" s="12" t="e">
        <f>#REF!*C138</f>
        <v>#REF!</v>
      </c>
      <c r="H138" s="12" t="e">
        <f t="shared" si="5"/>
        <v>#REF!</v>
      </c>
      <c r="J138" s="13" t="s">
        <v>137</v>
      </c>
    </row>
    <row r="139" spans="1:10" ht="15.6" x14ac:dyDescent="0.3">
      <c r="A139" s="7">
        <f>[1]Лист4!A172</f>
        <v>8</v>
      </c>
      <c r="B139" s="8" t="s">
        <v>281</v>
      </c>
      <c r="C139" s="9">
        <v>90</v>
      </c>
      <c r="D139" s="11">
        <v>13.54</v>
      </c>
      <c r="E139" s="11">
        <f t="shared" si="4"/>
        <v>11.92</v>
      </c>
      <c r="F139" s="10" t="e">
        <f>#REF!*C139</f>
        <v>#REF!</v>
      </c>
      <c r="G139" s="12" t="e">
        <f>#REF!*C139</f>
        <v>#REF!</v>
      </c>
      <c r="H139" s="12" t="e">
        <f t="shared" si="5"/>
        <v>#REF!</v>
      </c>
      <c r="J139" s="13" t="s">
        <v>138</v>
      </c>
    </row>
    <row r="140" spans="1:10" ht="15.6" x14ac:dyDescent="0.3">
      <c r="A140" s="7">
        <f>[1]Лист4!A168</f>
        <v>8</v>
      </c>
      <c r="B140" s="8" t="s">
        <v>282</v>
      </c>
      <c r="C140" s="9">
        <v>90</v>
      </c>
      <c r="D140" s="11">
        <v>4.95</v>
      </c>
      <c r="E140" s="11">
        <f t="shared" si="4"/>
        <v>4.3599999999999994</v>
      </c>
      <c r="F140" s="10" t="e">
        <f>#REF!*C140</f>
        <v>#REF!</v>
      </c>
      <c r="G140" s="12" t="e">
        <f>#REF!*C140</f>
        <v>#REF!</v>
      </c>
      <c r="H140" s="12" t="e">
        <f t="shared" si="5"/>
        <v>#REF!</v>
      </c>
      <c r="J140" s="13" t="s">
        <v>139</v>
      </c>
    </row>
    <row r="141" spans="1:10" ht="15.6" x14ac:dyDescent="0.3">
      <c r="A141" s="7">
        <f>[1]Лист4!A171</f>
        <v>8</v>
      </c>
      <c r="B141" s="8" t="s">
        <v>283</v>
      </c>
      <c r="C141" s="9">
        <v>150</v>
      </c>
      <c r="D141" s="11">
        <v>11.28</v>
      </c>
      <c r="E141" s="11">
        <f t="shared" si="4"/>
        <v>9.93</v>
      </c>
      <c r="F141" s="10" t="e">
        <f>#REF!*C141</f>
        <v>#REF!</v>
      </c>
      <c r="G141" s="12" t="e">
        <f>#REF!*C141</f>
        <v>#REF!</v>
      </c>
      <c r="H141" s="12" t="e">
        <f t="shared" si="5"/>
        <v>#REF!</v>
      </c>
      <c r="J141" s="13" t="s">
        <v>140</v>
      </c>
    </row>
    <row r="142" spans="1:10" ht="15.6" x14ac:dyDescent="0.3">
      <c r="A142" s="7">
        <f>[1]Лист4!A167</f>
        <v>8</v>
      </c>
      <c r="B142" s="8" t="s">
        <v>284</v>
      </c>
      <c r="C142" s="9">
        <v>3790</v>
      </c>
      <c r="D142" s="11">
        <v>4.8099999999999996</v>
      </c>
      <c r="E142" s="11">
        <f t="shared" si="4"/>
        <v>4.24</v>
      </c>
      <c r="F142" s="10" t="e">
        <f>#REF!*C142</f>
        <v>#REF!</v>
      </c>
      <c r="G142" s="12" t="e">
        <f>#REF!*C142</f>
        <v>#REF!</v>
      </c>
      <c r="H142" s="12" t="e">
        <f t="shared" si="5"/>
        <v>#REF!</v>
      </c>
      <c r="J142" s="13" t="s">
        <v>141</v>
      </c>
    </row>
    <row r="143" spans="1:10" ht="15.6" x14ac:dyDescent="0.3">
      <c r="A143" s="7">
        <f>[1]Лист4!A175</f>
        <v>8</v>
      </c>
      <c r="B143" s="8" t="s">
        <v>285</v>
      </c>
      <c r="C143" s="9">
        <v>30</v>
      </c>
      <c r="D143" s="11">
        <v>29.37</v>
      </c>
      <c r="E143" s="11">
        <f t="shared" si="4"/>
        <v>25.85</v>
      </c>
      <c r="F143" s="10" t="e">
        <f>#REF!*C143</f>
        <v>#REF!</v>
      </c>
      <c r="G143" s="12" t="e">
        <f>#REF!*C143</f>
        <v>#REF!</v>
      </c>
      <c r="H143" s="12" t="e">
        <f t="shared" si="5"/>
        <v>#REF!</v>
      </c>
      <c r="J143" s="13" t="s">
        <v>142</v>
      </c>
    </row>
    <row r="144" spans="1:10" ht="15.6" x14ac:dyDescent="0.3">
      <c r="A144" s="7">
        <f>[1]Лист4!A174</f>
        <v>8</v>
      </c>
      <c r="B144" s="8" t="s">
        <v>286</v>
      </c>
      <c r="C144" s="9">
        <v>10</v>
      </c>
      <c r="D144" s="11">
        <v>19.130000000000003</v>
      </c>
      <c r="E144" s="11">
        <f t="shared" si="4"/>
        <v>16.84</v>
      </c>
      <c r="F144" s="10" t="e">
        <f>#REF!*C144</f>
        <v>#REF!</v>
      </c>
      <c r="G144" s="12" t="e">
        <f>#REF!*C144</f>
        <v>#REF!</v>
      </c>
      <c r="H144" s="12" t="e">
        <f t="shared" si="5"/>
        <v>#REF!</v>
      </c>
      <c r="J144" s="13" t="s">
        <v>143</v>
      </c>
    </row>
    <row r="145" spans="1:10" ht="15.6" x14ac:dyDescent="0.3">
      <c r="A145" s="7">
        <f>[1]Лист4!A176</f>
        <v>8</v>
      </c>
      <c r="B145" s="8" t="s">
        <v>287</v>
      </c>
      <c r="C145" s="9">
        <v>60</v>
      </c>
      <c r="D145" s="11">
        <v>8.39</v>
      </c>
      <c r="E145" s="11">
        <f t="shared" si="4"/>
        <v>7.39</v>
      </c>
      <c r="F145" s="10" t="e">
        <f>#REF!*C145</f>
        <v>#REF!</v>
      </c>
      <c r="G145" s="12" t="e">
        <f>#REF!*C145</f>
        <v>#REF!</v>
      </c>
      <c r="H145" s="12" t="e">
        <f t="shared" si="5"/>
        <v>#REF!</v>
      </c>
      <c r="J145" s="13" t="s">
        <v>144</v>
      </c>
    </row>
    <row r="146" spans="1:10" ht="15.6" x14ac:dyDescent="0.3">
      <c r="A146" s="7">
        <f>[1]Лист4!A177</f>
        <v>8</v>
      </c>
      <c r="B146" s="8" t="s">
        <v>288</v>
      </c>
      <c r="C146" s="9">
        <v>200</v>
      </c>
      <c r="D146" s="11">
        <v>4.5599999999999996</v>
      </c>
      <c r="E146" s="11">
        <f t="shared" si="4"/>
        <v>4.0199999999999996</v>
      </c>
      <c r="F146" s="10" t="e">
        <f>#REF!*C146</f>
        <v>#REF!</v>
      </c>
      <c r="G146" s="12" t="e">
        <f>#REF!*C146</f>
        <v>#REF!</v>
      </c>
      <c r="H146" s="12" t="e">
        <f t="shared" si="5"/>
        <v>#REF!</v>
      </c>
      <c r="J146" s="13" t="s">
        <v>145</v>
      </c>
    </row>
    <row r="147" spans="1:10" ht="15.6" x14ac:dyDescent="0.3">
      <c r="A147" s="7">
        <f>[1]Лист4!A125</f>
        <v>8</v>
      </c>
      <c r="B147" s="8" t="s">
        <v>289</v>
      </c>
      <c r="C147" s="9">
        <v>300</v>
      </c>
      <c r="D147" s="11">
        <v>2.91</v>
      </c>
      <c r="E147" s="11">
        <f t="shared" si="4"/>
        <v>2.57</v>
      </c>
      <c r="F147" s="10" t="e">
        <f>#REF!*C147</f>
        <v>#REF!</v>
      </c>
      <c r="G147" s="12" t="e">
        <f>#REF!*C147</f>
        <v>#REF!</v>
      </c>
      <c r="H147" s="12" t="e">
        <f t="shared" si="5"/>
        <v>#REF!</v>
      </c>
      <c r="J147" s="13" t="s">
        <v>146</v>
      </c>
    </row>
    <row r="148" spans="1:10" ht="15.6" x14ac:dyDescent="0.3">
      <c r="A148" s="7">
        <f>[1]Лист4!A136</f>
        <v>8</v>
      </c>
      <c r="B148" s="8" t="s">
        <v>290</v>
      </c>
      <c r="C148" s="9">
        <v>10</v>
      </c>
      <c r="D148" s="11">
        <v>13.09</v>
      </c>
      <c r="E148" s="11">
        <f t="shared" si="4"/>
        <v>11.52</v>
      </c>
      <c r="F148" s="10" t="e">
        <f>#REF!*C148</f>
        <v>#REF!</v>
      </c>
      <c r="G148" s="12" t="e">
        <f>#REF!*C148</f>
        <v>#REF!</v>
      </c>
      <c r="H148" s="12" t="e">
        <f t="shared" si="5"/>
        <v>#REF!</v>
      </c>
      <c r="J148" s="13" t="s">
        <v>147</v>
      </c>
    </row>
    <row r="149" spans="1:10" ht="15.6" x14ac:dyDescent="0.3">
      <c r="A149" s="7">
        <f>[1]Лист4!A99</f>
        <v>8</v>
      </c>
      <c r="B149" s="8" t="s">
        <v>291</v>
      </c>
      <c r="C149" s="9">
        <v>40</v>
      </c>
      <c r="D149" s="11">
        <v>5.37</v>
      </c>
      <c r="E149" s="11">
        <f t="shared" si="4"/>
        <v>4.7299999999999995</v>
      </c>
      <c r="F149" s="10" t="e">
        <f>#REF!*C149</f>
        <v>#REF!</v>
      </c>
      <c r="G149" s="12" t="e">
        <f>#REF!*C149</f>
        <v>#REF!</v>
      </c>
      <c r="H149" s="12" t="e">
        <f t="shared" si="5"/>
        <v>#REF!</v>
      </c>
      <c r="J149" s="13" t="s">
        <v>148</v>
      </c>
    </row>
    <row r="150" spans="1:10" ht="15.6" x14ac:dyDescent="0.3">
      <c r="A150" s="7">
        <f>[1]Лист4!A100</f>
        <v>8</v>
      </c>
      <c r="B150" s="8" t="s">
        <v>292</v>
      </c>
      <c r="C150" s="9">
        <v>40</v>
      </c>
      <c r="D150" s="11">
        <v>5.51</v>
      </c>
      <c r="E150" s="11">
        <f t="shared" si="4"/>
        <v>4.8499999999999996</v>
      </c>
      <c r="F150" s="10" t="e">
        <f>#REF!*C150</f>
        <v>#REF!</v>
      </c>
      <c r="G150" s="12" t="e">
        <f>#REF!*C150</f>
        <v>#REF!</v>
      </c>
      <c r="H150" s="12" t="e">
        <f t="shared" si="5"/>
        <v>#REF!</v>
      </c>
      <c r="J150" s="13" t="s">
        <v>149</v>
      </c>
    </row>
    <row r="151" spans="1:10" ht="15.6" x14ac:dyDescent="0.3">
      <c r="A151" s="7">
        <f>[1]Лист4!A98</f>
        <v>8</v>
      </c>
      <c r="B151" s="8" t="s">
        <v>293</v>
      </c>
      <c r="C151" s="9">
        <v>80</v>
      </c>
      <c r="D151" s="11">
        <v>5.1499999999999995</v>
      </c>
      <c r="E151" s="11">
        <f t="shared" si="4"/>
        <v>4.54</v>
      </c>
      <c r="F151" s="10" t="e">
        <f>#REF!*C151</f>
        <v>#REF!</v>
      </c>
      <c r="G151" s="12" t="e">
        <f>#REF!*C151</f>
        <v>#REF!</v>
      </c>
      <c r="H151" s="12" t="e">
        <f t="shared" si="5"/>
        <v>#REF!</v>
      </c>
      <c r="J151" s="13" t="s">
        <v>150</v>
      </c>
    </row>
    <row r="152" spans="1:10" ht="15.6" x14ac:dyDescent="0.3">
      <c r="A152" s="7">
        <f>[1]Лист4!A105</f>
        <v>8</v>
      </c>
      <c r="B152" s="8" t="s">
        <v>294</v>
      </c>
      <c r="C152" s="9">
        <v>90</v>
      </c>
      <c r="D152" s="11">
        <v>3.7899999999999996</v>
      </c>
      <c r="E152" s="11">
        <f t="shared" si="4"/>
        <v>3.34</v>
      </c>
      <c r="F152" s="10" t="e">
        <f>#REF!*C152</f>
        <v>#REF!</v>
      </c>
      <c r="G152" s="12" t="e">
        <f>#REF!*C152</f>
        <v>#REF!</v>
      </c>
      <c r="H152" s="12" t="e">
        <f t="shared" si="5"/>
        <v>#REF!</v>
      </c>
      <c r="J152" s="13" t="s">
        <v>151</v>
      </c>
    </row>
    <row r="153" spans="1:10" ht="15.6" x14ac:dyDescent="0.3">
      <c r="A153" s="7">
        <f>[1]Лист4!A110</f>
        <v>8</v>
      </c>
      <c r="B153" s="8" t="s">
        <v>295</v>
      </c>
      <c r="C153" s="9">
        <v>80</v>
      </c>
      <c r="D153" s="11">
        <v>7.9399999999999995</v>
      </c>
      <c r="E153" s="11">
        <f t="shared" si="4"/>
        <v>6.99</v>
      </c>
      <c r="F153" s="10" t="e">
        <f>#REF!*C153</f>
        <v>#REF!</v>
      </c>
      <c r="G153" s="12" t="e">
        <f>#REF!*C153</f>
        <v>#REF!</v>
      </c>
      <c r="H153" s="12" t="e">
        <f t="shared" si="5"/>
        <v>#REF!</v>
      </c>
      <c r="J153" s="13" t="s">
        <v>152</v>
      </c>
    </row>
    <row r="154" spans="1:10" ht="15.6" x14ac:dyDescent="0.3">
      <c r="A154" s="7">
        <f>[1]Лист4!A113</f>
        <v>8</v>
      </c>
      <c r="B154" s="14" t="s">
        <v>296</v>
      </c>
      <c r="C154" s="15">
        <v>440</v>
      </c>
      <c r="D154" s="17">
        <v>6.12</v>
      </c>
      <c r="E154" s="17">
        <f t="shared" si="4"/>
        <v>5.39</v>
      </c>
      <c r="F154" s="16" t="e">
        <f>#REF!*C154</f>
        <v>#REF!</v>
      </c>
      <c r="G154" s="18" t="e">
        <f>#REF!*C154</f>
        <v>#REF!</v>
      </c>
      <c r="H154" s="18" t="e">
        <f t="shared" si="5"/>
        <v>#REF!</v>
      </c>
      <c r="J154" s="13" t="s">
        <v>153</v>
      </c>
    </row>
    <row r="155" spans="1:10" ht="15.6" x14ac:dyDescent="0.3">
      <c r="A155" s="7">
        <f>[1]Лист4!A112</f>
        <v>8</v>
      </c>
      <c r="B155" s="8" t="s">
        <v>297</v>
      </c>
      <c r="C155" s="9">
        <v>120</v>
      </c>
      <c r="D155" s="11">
        <v>7.2799999999999994</v>
      </c>
      <c r="E155" s="11">
        <f t="shared" si="4"/>
        <v>6.41</v>
      </c>
      <c r="F155" s="10" t="e">
        <f>#REF!*C155</f>
        <v>#REF!</v>
      </c>
      <c r="G155" s="12" t="e">
        <f>#REF!*C155</f>
        <v>#REF!</v>
      </c>
      <c r="H155" s="12" t="e">
        <f t="shared" si="5"/>
        <v>#REF!</v>
      </c>
      <c r="J155" s="13" t="s">
        <v>153</v>
      </c>
    </row>
    <row r="156" spans="1:10" ht="15.6" x14ac:dyDescent="0.3">
      <c r="A156" s="7">
        <f>[1]Лист4!A109</f>
        <v>8</v>
      </c>
      <c r="B156" s="8" t="s">
        <v>298</v>
      </c>
      <c r="C156" s="9">
        <v>480</v>
      </c>
      <c r="D156" s="11">
        <v>7.72</v>
      </c>
      <c r="E156" s="11">
        <f t="shared" si="4"/>
        <v>6.8</v>
      </c>
      <c r="F156" s="10" t="e">
        <f>#REF!*C156</f>
        <v>#REF!</v>
      </c>
      <c r="G156" s="12" t="e">
        <f>#REF!*C156</f>
        <v>#REF!</v>
      </c>
      <c r="H156" s="12" t="e">
        <f t="shared" si="5"/>
        <v>#REF!</v>
      </c>
      <c r="J156" s="13" t="s">
        <v>154</v>
      </c>
    </row>
    <row r="157" spans="1:10" ht="15.6" x14ac:dyDescent="0.3">
      <c r="A157" s="7">
        <f>[1]Лист4!A111</f>
        <v>8</v>
      </c>
      <c r="B157" s="8" t="s">
        <v>299</v>
      </c>
      <c r="C157" s="9">
        <v>160</v>
      </c>
      <c r="D157" s="11">
        <v>8.15</v>
      </c>
      <c r="E157" s="11">
        <f t="shared" si="4"/>
        <v>7.18</v>
      </c>
      <c r="F157" s="10" t="e">
        <f>#REF!*C157</f>
        <v>#REF!</v>
      </c>
      <c r="G157" s="12" t="e">
        <f>#REF!*C157</f>
        <v>#REF!</v>
      </c>
      <c r="H157" s="12" t="e">
        <f t="shared" si="5"/>
        <v>#REF!</v>
      </c>
      <c r="J157" s="13" t="s">
        <v>15</v>
      </c>
    </row>
    <row r="158" spans="1:10" ht="15.6" x14ac:dyDescent="0.3">
      <c r="A158" s="7">
        <f>[1]Лист4!A107</f>
        <v>8</v>
      </c>
      <c r="B158" s="8" t="s">
        <v>300</v>
      </c>
      <c r="C158" s="9">
        <v>40</v>
      </c>
      <c r="D158" s="11">
        <v>6.12</v>
      </c>
      <c r="E158" s="11">
        <f t="shared" si="4"/>
        <v>5.39</v>
      </c>
      <c r="F158" s="10" t="e">
        <f>#REF!*C158</f>
        <v>#REF!</v>
      </c>
      <c r="G158" s="12" t="e">
        <f>#REF!*C158</f>
        <v>#REF!</v>
      </c>
      <c r="H158" s="12" t="e">
        <f t="shared" si="5"/>
        <v>#REF!</v>
      </c>
      <c r="J158" s="13" t="s">
        <v>155</v>
      </c>
    </row>
    <row r="159" spans="1:10" ht="15.6" x14ac:dyDescent="0.3">
      <c r="A159" s="7">
        <f>[1]Лист4!A108</f>
        <v>8</v>
      </c>
      <c r="B159" s="8" t="s">
        <v>301</v>
      </c>
      <c r="C159" s="9">
        <v>120</v>
      </c>
      <c r="D159" s="11">
        <v>5.6899999999999995</v>
      </c>
      <c r="E159" s="11">
        <f t="shared" si="4"/>
        <v>5.01</v>
      </c>
      <c r="F159" s="10" t="e">
        <f>#REF!*C159</f>
        <v>#REF!</v>
      </c>
      <c r="G159" s="12" t="e">
        <f>#REF!*C159</f>
        <v>#REF!</v>
      </c>
      <c r="H159" s="12" t="e">
        <f t="shared" si="5"/>
        <v>#REF!</v>
      </c>
      <c r="J159" s="13" t="s">
        <v>156</v>
      </c>
    </row>
    <row r="160" spans="1:10" ht="15.6" x14ac:dyDescent="0.3">
      <c r="A160" s="7">
        <f>[1]Лист4!A124</f>
        <v>8</v>
      </c>
      <c r="B160" s="14" t="s">
        <v>302</v>
      </c>
      <c r="C160" s="15">
        <v>760</v>
      </c>
      <c r="D160" s="17">
        <v>4.8099999999999996</v>
      </c>
      <c r="E160" s="17">
        <f t="shared" si="4"/>
        <v>4.24</v>
      </c>
      <c r="F160" s="16" t="e">
        <f>#REF!*C160</f>
        <v>#REF!</v>
      </c>
      <c r="G160" s="18" t="e">
        <f>#REF!*C160</f>
        <v>#REF!</v>
      </c>
      <c r="H160" s="18" t="e">
        <f t="shared" si="5"/>
        <v>#REF!</v>
      </c>
      <c r="J160" s="13" t="s">
        <v>157</v>
      </c>
    </row>
    <row r="161" spans="1:10" ht="15.6" x14ac:dyDescent="0.3">
      <c r="A161" s="7">
        <f>[1]Лист4!A117</f>
        <v>8</v>
      </c>
      <c r="B161" s="8" t="s">
        <v>303</v>
      </c>
      <c r="C161" s="9">
        <v>40</v>
      </c>
      <c r="D161" s="11">
        <v>5.1499999999999995</v>
      </c>
      <c r="E161" s="11">
        <f t="shared" ref="E161:E171" si="6">ROUNDUP(D161*0.88,2)</f>
        <v>4.54</v>
      </c>
      <c r="F161" s="10" t="e">
        <f>#REF!*C161</f>
        <v>#REF!</v>
      </c>
      <c r="G161" s="12" t="e">
        <f>#REF!*C161</f>
        <v>#REF!</v>
      </c>
      <c r="H161" s="12" t="e">
        <f t="shared" ref="H161:H171" si="7">G161-F161</f>
        <v>#REF!</v>
      </c>
      <c r="J161" s="13" t="s">
        <v>158</v>
      </c>
    </row>
    <row r="162" spans="1:10" ht="15.6" x14ac:dyDescent="0.3">
      <c r="A162" s="7">
        <f>[1]Лист4!A123</f>
        <v>8</v>
      </c>
      <c r="B162" s="14" t="s">
        <v>304</v>
      </c>
      <c r="C162" s="15">
        <v>80</v>
      </c>
      <c r="D162" s="17">
        <v>4.8099999999999996</v>
      </c>
      <c r="E162" s="17">
        <f t="shared" si="6"/>
        <v>4.24</v>
      </c>
      <c r="F162" s="16" t="e">
        <f>#REF!*C162</f>
        <v>#REF!</v>
      </c>
      <c r="G162" s="18" t="e">
        <f>#REF!*C162</f>
        <v>#REF!</v>
      </c>
      <c r="H162" s="18" t="e">
        <f t="shared" si="7"/>
        <v>#REF!</v>
      </c>
      <c r="J162" s="13" t="s">
        <v>159</v>
      </c>
    </row>
    <row r="163" spans="1:10" ht="15.6" x14ac:dyDescent="0.3">
      <c r="A163" s="7">
        <f>[1]Лист4!A116</f>
        <v>8</v>
      </c>
      <c r="B163" s="8" t="s">
        <v>305</v>
      </c>
      <c r="C163" s="9">
        <v>80</v>
      </c>
      <c r="D163" s="11">
        <v>7.3999999999999995</v>
      </c>
      <c r="E163" s="11">
        <f t="shared" si="6"/>
        <v>6.52</v>
      </c>
      <c r="F163" s="10" t="e">
        <f>#REF!*C163</f>
        <v>#REF!</v>
      </c>
      <c r="G163" s="12" t="e">
        <f>#REF!*C163</f>
        <v>#REF!</v>
      </c>
      <c r="H163" s="12" t="e">
        <f t="shared" si="7"/>
        <v>#REF!</v>
      </c>
      <c r="J163" s="13" t="s">
        <v>160</v>
      </c>
    </row>
    <row r="164" spans="1:10" ht="15.6" x14ac:dyDescent="0.3">
      <c r="A164" s="7">
        <f>[1]Лист4!A122</f>
        <v>8</v>
      </c>
      <c r="B164" s="8" t="s">
        <v>306</v>
      </c>
      <c r="C164" s="9">
        <v>240</v>
      </c>
      <c r="D164" s="11">
        <v>8.08</v>
      </c>
      <c r="E164" s="11">
        <f t="shared" si="6"/>
        <v>7.12</v>
      </c>
      <c r="F164" s="10" t="e">
        <f>#REF!*C164</f>
        <v>#REF!</v>
      </c>
      <c r="G164" s="12" t="e">
        <f>#REF!*C164</f>
        <v>#REF!</v>
      </c>
      <c r="H164" s="12" t="e">
        <f t="shared" si="7"/>
        <v>#REF!</v>
      </c>
      <c r="J164" s="13" t="s">
        <v>161</v>
      </c>
    </row>
    <row r="165" spans="1:10" ht="15.6" x14ac:dyDescent="0.3">
      <c r="A165" s="7">
        <f>[1]Лист4!A119</f>
        <v>8</v>
      </c>
      <c r="B165" s="14" t="s">
        <v>307</v>
      </c>
      <c r="C165" s="15">
        <v>400</v>
      </c>
      <c r="D165" s="17">
        <v>4.8099999999999996</v>
      </c>
      <c r="E165" s="17">
        <f t="shared" si="6"/>
        <v>4.24</v>
      </c>
      <c r="F165" s="16" t="e">
        <f>#REF!*C165</f>
        <v>#REF!</v>
      </c>
      <c r="G165" s="18" t="e">
        <f>#REF!*C165</f>
        <v>#REF!</v>
      </c>
      <c r="H165" s="18" t="e">
        <f t="shared" si="7"/>
        <v>#REF!</v>
      </c>
      <c r="J165" s="13" t="s">
        <v>162</v>
      </c>
    </row>
    <row r="166" spans="1:10" ht="15.6" x14ac:dyDescent="0.3">
      <c r="A166" s="7">
        <f>[1]Лист4!A120</f>
        <v>8</v>
      </c>
      <c r="B166" s="8" t="s">
        <v>308</v>
      </c>
      <c r="C166" s="9">
        <v>160</v>
      </c>
      <c r="D166" s="11">
        <v>8.57</v>
      </c>
      <c r="E166" s="11">
        <f t="shared" si="6"/>
        <v>7.55</v>
      </c>
      <c r="F166" s="10" t="e">
        <f>#REF!*C166</f>
        <v>#REF!</v>
      </c>
      <c r="G166" s="12" t="e">
        <f>#REF!*C166</f>
        <v>#REF!</v>
      </c>
      <c r="H166" s="12" t="e">
        <f t="shared" si="7"/>
        <v>#REF!</v>
      </c>
      <c r="J166" s="13" t="s">
        <v>163</v>
      </c>
    </row>
    <row r="167" spans="1:10" ht="15.6" x14ac:dyDescent="0.3">
      <c r="A167" s="7">
        <f>[1]Лист4!A118</f>
        <v>8</v>
      </c>
      <c r="B167" s="8" t="s">
        <v>309</v>
      </c>
      <c r="C167" s="9">
        <v>80</v>
      </c>
      <c r="D167" s="11">
        <v>6.59</v>
      </c>
      <c r="E167" s="11">
        <f t="shared" si="6"/>
        <v>5.8</v>
      </c>
      <c r="F167" s="10" t="e">
        <f>#REF!*C167</f>
        <v>#REF!</v>
      </c>
      <c r="G167" s="12" t="e">
        <f>#REF!*C167</f>
        <v>#REF!</v>
      </c>
      <c r="H167" s="12" t="e">
        <f t="shared" si="7"/>
        <v>#REF!</v>
      </c>
      <c r="J167" s="13" t="s">
        <v>164</v>
      </c>
    </row>
    <row r="168" spans="1:10" ht="15.6" x14ac:dyDescent="0.3">
      <c r="A168" s="7">
        <f>[1]Лист4!A121</f>
        <v>8</v>
      </c>
      <c r="B168" s="8" t="s">
        <v>310</v>
      </c>
      <c r="C168" s="9">
        <v>60</v>
      </c>
      <c r="D168" s="11">
        <v>6.68</v>
      </c>
      <c r="E168" s="11">
        <f t="shared" si="6"/>
        <v>5.88</v>
      </c>
      <c r="F168" s="10" t="e">
        <f>#REF!*C168</f>
        <v>#REF!</v>
      </c>
      <c r="G168" s="12" t="e">
        <f>#REF!*C168</f>
        <v>#REF!</v>
      </c>
      <c r="H168" s="12" t="e">
        <f t="shared" si="7"/>
        <v>#REF!</v>
      </c>
      <c r="J168" s="13" t="s">
        <v>165</v>
      </c>
    </row>
    <row r="169" spans="1:10" ht="15.6" x14ac:dyDescent="0.3">
      <c r="A169" s="7">
        <f>[1]Лист4!A106</f>
        <v>8</v>
      </c>
      <c r="B169" s="8" t="s">
        <v>311</v>
      </c>
      <c r="C169" s="9">
        <v>80</v>
      </c>
      <c r="D169" s="11">
        <v>5.0599999999999996</v>
      </c>
      <c r="E169" s="11">
        <f t="shared" si="6"/>
        <v>4.46</v>
      </c>
      <c r="F169" s="10" t="e">
        <f>#REF!*C169</f>
        <v>#REF!</v>
      </c>
      <c r="G169" s="12" t="e">
        <f>#REF!*C169</f>
        <v>#REF!</v>
      </c>
      <c r="H169" s="12" t="e">
        <f t="shared" si="7"/>
        <v>#REF!</v>
      </c>
      <c r="J169" s="13" t="s">
        <v>166</v>
      </c>
    </row>
    <row r="170" spans="1:10" ht="15.6" x14ac:dyDescent="0.3">
      <c r="A170" s="7">
        <f>[1]Лист4!A115</f>
        <v>8</v>
      </c>
      <c r="B170" s="8" t="s">
        <v>312</v>
      </c>
      <c r="C170" s="9">
        <v>80</v>
      </c>
      <c r="D170" s="11">
        <v>10.83</v>
      </c>
      <c r="E170" s="11">
        <f t="shared" si="6"/>
        <v>9.5399999999999991</v>
      </c>
      <c r="F170" s="10" t="e">
        <f>#REF!*C170</f>
        <v>#REF!</v>
      </c>
      <c r="G170" s="12" t="e">
        <f>#REF!*C170</f>
        <v>#REF!</v>
      </c>
      <c r="H170" s="12" t="e">
        <f t="shared" si="7"/>
        <v>#REF!</v>
      </c>
      <c r="J170" s="13" t="s">
        <v>167</v>
      </c>
    </row>
    <row r="171" spans="1:10" ht="15.6" x14ac:dyDescent="0.3">
      <c r="A171" s="7">
        <f>[1]Лист4!A114</f>
        <v>8</v>
      </c>
      <c r="B171" s="8" t="s">
        <v>313</v>
      </c>
      <c r="C171" s="9">
        <v>80</v>
      </c>
      <c r="D171" s="11">
        <v>9.6999999999999993</v>
      </c>
      <c r="E171" s="11">
        <f t="shared" si="6"/>
        <v>8.5399999999999991</v>
      </c>
      <c r="F171" s="10" t="e">
        <f>#REF!*C171</f>
        <v>#REF!</v>
      </c>
      <c r="G171" s="12" t="e">
        <f>#REF!*C171</f>
        <v>#REF!</v>
      </c>
      <c r="H171" s="12" t="e">
        <f t="shared" si="7"/>
        <v>#REF!</v>
      </c>
      <c r="J171" s="13" t="s">
        <v>168</v>
      </c>
    </row>
  </sheetData>
  <hyperlinks>
    <hyperlink ref="J69" r:id="rId1" display="url"/>
    <hyperlink ref="J70" r:id="rId2" display="url"/>
    <hyperlink ref="J75" r:id="rId3" display="url"/>
    <hyperlink ref="J78" r:id="rId4" display="url"/>
    <hyperlink ref="J77" r:id="rId5" display="url"/>
    <hyperlink ref="J79" r:id="rId6" display="url"/>
    <hyperlink ref="J80" r:id="rId7" display="url"/>
    <hyperlink ref="J76" r:id="rId8" display="url"/>
    <hyperlink ref="J81" r:id="rId9" display="url"/>
    <hyperlink ref="J32" r:id="rId10" display="url"/>
    <hyperlink ref="J31" r:id="rId11" display="url"/>
    <hyperlink ref="J29" r:id="rId12" display="url"/>
    <hyperlink ref="J30" r:id="rId13" display="url"/>
    <hyperlink ref="J51" r:id="rId14" display="url"/>
    <hyperlink ref="J52" r:id="rId15" display="url"/>
    <hyperlink ref="J33" r:id="rId16" display="url"/>
    <hyperlink ref="J58" r:id="rId17" display="url"/>
    <hyperlink ref="J37" r:id="rId18" display="url"/>
    <hyperlink ref="J55" r:id="rId19" display="url"/>
    <hyperlink ref="J56" r:id="rId20" display="url"/>
    <hyperlink ref="J38" r:id="rId21" display="url"/>
    <hyperlink ref="J39" r:id="rId22" display="url"/>
    <hyperlink ref="J40" r:id="rId23" display="url"/>
    <hyperlink ref="J45" r:id="rId24" display="url"/>
    <hyperlink ref="J43" r:id="rId25" display="url"/>
    <hyperlink ref="J44" r:id="rId26" display="url"/>
    <hyperlink ref="J46" r:id="rId27" display="url"/>
    <hyperlink ref="J48" r:id="rId28" display="url"/>
    <hyperlink ref="J47" r:id="rId29" display="url"/>
    <hyperlink ref="J49" r:id="rId30" display="url"/>
    <hyperlink ref="J50" r:id="rId31" display="url"/>
    <hyperlink ref="J53" r:id="rId32" display="url"/>
    <hyperlink ref="J62" r:id="rId33" display="url"/>
    <hyperlink ref="J60" r:id="rId34" display="url"/>
    <hyperlink ref="J63" r:id="rId35" display="url"/>
    <hyperlink ref="J61" r:id="rId36" display="url"/>
    <hyperlink ref="J152" r:id="rId37" display="url"/>
    <hyperlink ref="J169" r:id="rId38" display="url"/>
    <hyperlink ref="J158" r:id="rId39" display="url"/>
    <hyperlink ref="J156" r:id="rId40" display="url"/>
    <hyperlink ref="J153" r:id="rId41" display="url"/>
    <hyperlink ref="J157" r:id="rId42" display="url"/>
    <hyperlink ref="J155" r:id="rId43" display="url"/>
    <hyperlink ref="J154" r:id="rId44" display="url"/>
    <hyperlink ref="J171" r:id="rId45" display="url"/>
    <hyperlink ref="J170" r:id="rId46" display="url"/>
    <hyperlink ref="J163" r:id="rId47" display="url"/>
    <hyperlink ref="J161" r:id="rId48" display="url"/>
    <hyperlink ref="J167" r:id="rId49" display="url"/>
    <hyperlink ref="J165" r:id="rId50" display="url"/>
    <hyperlink ref="J166" r:id="rId51" display="url"/>
    <hyperlink ref="J168" r:id="rId52" display="url"/>
    <hyperlink ref="J164" r:id="rId53" display="url"/>
    <hyperlink ref="J162" r:id="rId54" display="url"/>
    <hyperlink ref="J160" r:id="rId55" display="url"/>
    <hyperlink ref="J147" r:id="rId56" display="url"/>
    <hyperlink ref="J91" r:id="rId57" display="url"/>
    <hyperlink ref="J93" r:id="rId58" display="url"/>
    <hyperlink ref="J92" r:id="rId59" display="url"/>
    <hyperlink ref="J89" r:id="rId60" display="url"/>
    <hyperlink ref="J148" r:id="rId61" display="url"/>
    <hyperlink ref="J97" r:id="rId62" display="url"/>
    <hyperlink ref="J94" r:id="rId63" display="url"/>
    <hyperlink ref="J108" r:id="rId64" display="url"/>
    <hyperlink ref="J107" r:id="rId65" display="url"/>
    <hyperlink ref="J122" r:id="rId66" display="url"/>
    <hyperlink ref="J134" r:id="rId67" display="url"/>
    <hyperlink ref="J144" r:id="rId68" display="url"/>
    <hyperlink ref="J143" r:id="rId69" display="url"/>
    <hyperlink ref="J3" r:id="rId70" display="url"/>
    <hyperlink ref="J4" r:id="rId71" display="url"/>
    <hyperlink ref="J9" r:id="rId72" display="url"/>
    <hyperlink ref="J25" r:id="rId73" display="url"/>
    <hyperlink ref="J10" r:id="rId74" display="url"/>
    <hyperlink ref="J11" r:id="rId75" display="url"/>
    <hyperlink ref="J8" r:id="rId76" display="url"/>
    <hyperlink ref="J7" r:id="rId77" display="url"/>
    <hyperlink ref="J26" r:id="rId78" display="url"/>
    <hyperlink ref="J13" r:id="rId79" display="url"/>
    <hyperlink ref="J14" r:id="rId80" display="url"/>
    <hyperlink ref="J12" r:id="rId81" display="url"/>
    <hyperlink ref="J16" r:id="rId82" display="url"/>
    <hyperlink ref="J15" r:id="rId83" display="url"/>
    <hyperlink ref="J17" r:id="rId84" display="url"/>
    <hyperlink ref="J18" r:id="rId85" display="url"/>
    <hyperlink ref="J23" r:id="rId86" display="url"/>
    <hyperlink ref="J24" r:id="rId87" display="url"/>
    <hyperlink ref="J19" r:id="rId88" display="url"/>
    <hyperlink ref="J20" r:id="rId89" display="url"/>
    <hyperlink ref="J21" r:id="rId90" display="url"/>
    <hyperlink ref="J22" r:id="rId91" display="url"/>
    <hyperlink ref="J5" r:id="rId92" display="url"/>
    <hyperlink ref="J6" r:id="rId93" display="url"/>
    <hyperlink ref="J146" r:id="rId94" display="url"/>
    <hyperlink ref="J68" r:id="rId95" display="url"/>
    <hyperlink ref="J71" r:id="rId96" display="url"/>
    <hyperlink ref="J74" r:id="rId97" display="url"/>
    <hyperlink ref="J72" r:id="rId98" display="url"/>
    <hyperlink ref="J73" r:id="rId99" display="url"/>
    <hyperlink ref="J116" r:id="rId100" display="url"/>
    <hyperlink ref="J117" r:id="rId101" display="url"/>
    <hyperlink ref="J118" r:id="rId102" display="url"/>
    <hyperlink ref="J151" r:id="rId103" display="url"/>
    <hyperlink ref="J149" r:id="rId104" display="url"/>
    <hyperlink ref="J150" r:id="rId105" display="url"/>
    <hyperlink ref="J119" r:id="rId106" display="url"/>
    <hyperlink ref="J120" r:id="rId107" display="url"/>
    <hyperlink ref="J105" r:id="rId108" display="url"/>
    <hyperlink ref="J106" r:id="rId109" display="url"/>
    <hyperlink ref="J59" r:id="rId110" display="url"/>
    <hyperlink ref="J86" r:id="rId111" display="url"/>
    <hyperlink ref="J87" r:id="rId112" display="url"/>
    <hyperlink ref="J90" r:id="rId113" display="url"/>
    <hyperlink ref="J88" r:id="rId114" display="url"/>
    <hyperlink ref="J85" r:id="rId115" display="url"/>
    <hyperlink ref="J103" r:id="rId116" display="url"/>
    <hyperlink ref="J99" r:id="rId117" display="url"/>
    <hyperlink ref="J102" r:id="rId118" display="url"/>
    <hyperlink ref="J100" r:id="rId119" display="url"/>
    <hyperlink ref="J96" r:id="rId120" display="url"/>
    <hyperlink ref="J98" r:id="rId121" display="url"/>
    <hyperlink ref="J95" r:id="rId122" display="url"/>
    <hyperlink ref="J101" r:id="rId123" display="url"/>
    <hyperlink ref="J104" r:id="rId124" display="url"/>
    <hyperlink ref="J124" r:id="rId125" display="url"/>
    <hyperlink ref="J126" r:id="rId126" display="url"/>
    <hyperlink ref="J130" r:id="rId127" display="url"/>
    <hyperlink ref="J128" r:id="rId128" display="url"/>
    <hyperlink ref="J127" r:id="rId129" display="url"/>
    <hyperlink ref="J123" r:id="rId130" display="url"/>
    <hyperlink ref="J129" r:id="rId131" display="url"/>
    <hyperlink ref="J125" r:id="rId132" display="url"/>
    <hyperlink ref="J132" r:id="rId133" display="url"/>
    <hyperlink ref="J136" r:id="rId134" display="url"/>
    <hyperlink ref="J138" r:id="rId135" display="url"/>
    <hyperlink ref="J142" r:id="rId136" display="url"/>
    <hyperlink ref="J140" r:id="rId137" display="url"/>
    <hyperlink ref="J135" r:id="rId138" display="url"/>
    <hyperlink ref="J137" r:id="rId139" display="url"/>
    <hyperlink ref="J141" r:id="rId140" display="url"/>
    <hyperlink ref="J145" r:id="rId141" display="url"/>
    <hyperlink ref="J84" r:id="rId142" display="url"/>
    <hyperlink ref="J110" r:id="rId143" display="url"/>
    <hyperlink ref="J115" r:id="rId144" display="url"/>
    <hyperlink ref="J114" r:id="rId145" display="url"/>
    <hyperlink ref="J111" r:id="rId146" display="url"/>
    <hyperlink ref="J113" r:id="rId147" display="url"/>
    <hyperlink ref="J112" r:id="rId148" display="url"/>
    <hyperlink ref="J109" r:id="rId149" display="url"/>
    <hyperlink ref="J82" r:id="rId150" display="url"/>
    <hyperlink ref="J121" r:id="rId151" display="url"/>
    <hyperlink ref="J67" r:id="rId152" display="url"/>
  </hyperlinks>
  <pageMargins left="0.7" right="0.7" top="0.75" bottom="0.75" header="0.3" footer="0.3"/>
  <pageSetup paperSize="9" orientation="portrait" horizontalDpi="300" verticalDpi="300" r:id="rId1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2026-06-13T10:02:05Z</dcterms:created>
  <dc:creator>Алексей Малявко</dc:creator>
  <cp:lastModifiedBy>лол Егор</cp:lastModifiedBy>
  <dcterms:modified xsi:type="dcterms:W3CDTF">2026-06-13T10:47:14Z</dcterms:modified>
</cp:coreProperties>
</file>