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ois\IdeaProjects\PARSERS\product-importer\"/>
    </mc:Choice>
  </mc:AlternateContent>
  <bookViews>
    <workbookView xWindow="0" yWindow="0" windowWidth="25980" windowHeight="7995"/>
  </bookViews>
  <sheets>
    <sheet name="Лист3 (2)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93" i="1" l="1"/>
  <c r="F393" i="1"/>
  <c r="E393" i="1"/>
  <c r="D393" i="1"/>
  <c r="C393" i="1"/>
  <c r="B393" i="1"/>
  <c r="A393" i="1"/>
  <c r="T392" i="1"/>
  <c r="D392" i="1"/>
  <c r="C392" i="1"/>
  <c r="B392" i="1"/>
  <c r="A392" i="1"/>
  <c r="T391" i="1"/>
  <c r="D391" i="1"/>
  <c r="C391" i="1"/>
  <c r="B391" i="1"/>
  <c r="A391" i="1"/>
  <c r="T390" i="1"/>
  <c r="F390" i="1"/>
  <c r="G390" i="1" s="1"/>
  <c r="D390" i="1"/>
  <c r="C390" i="1"/>
  <c r="B390" i="1"/>
  <c r="A390" i="1"/>
  <c r="T389" i="1"/>
  <c r="I389" i="1"/>
  <c r="F389" i="1"/>
  <c r="G389" i="1" s="1"/>
  <c r="E389" i="1"/>
  <c r="D389" i="1"/>
  <c r="C389" i="1"/>
  <c r="B389" i="1"/>
  <c r="A389" i="1"/>
  <c r="T388" i="1"/>
  <c r="F388" i="1"/>
  <c r="E388" i="1"/>
  <c r="D388" i="1"/>
  <c r="G388" i="1" s="1"/>
  <c r="C388" i="1"/>
  <c r="B388" i="1"/>
  <c r="A388" i="1"/>
  <c r="T387" i="1"/>
  <c r="D387" i="1"/>
  <c r="C387" i="1"/>
  <c r="B387" i="1"/>
  <c r="A387" i="1"/>
  <c r="T386" i="1"/>
  <c r="P386" i="1"/>
  <c r="F386" i="1"/>
  <c r="G386" i="1" s="1"/>
  <c r="D386" i="1"/>
  <c r="E386" i="1" s="1"/>
  <c r="C386" i="1"/>
  <c r="B386" i="1"/>
  <c r="A386" i="1"/>
  <c r="T385" i="1"/>
  <c r="D385" i="1"/>
  <c r="C385" i="1"/>
  <c r="B385" i="1"/>
  <c r="A385" i="1"/>
  <c r="T384" i="1"/>
  <c r="D384" i="1"/>
  <c r="C384" i="1"/>
  <c r="B384" i="1"/>
  <c r="A384" i="1"/>
  <c r="T383" i="1"/>
  <c r="D383" i="1"/>
  <c r="C383" i="1"/>
  <c r="B383" i="1"/>
  <c r="A383" i="1"/>
  <c r="T382" i="1"/>
  <c r="P382" i="1"/>
  <c r="L382" i="1"/>
  <c r="F382" i="1"/>
  <c r="E382" i="1"/>
  <c r="D382" i="1"/>
  <c r="G382" i="1" s="1"/>
  <c r="C382" i="1"/>
  <c r="B382" i="1"/>
  <c r="A382" i="1"/>
  <c r="T381" i="1"/>
  <c r="D381" i="1"/>
  <c r="F381" i="1" s="1"/>
  <c r="C381" i="1"/>
  <c r="B381" i="1"/>
  <c r="A381" i="1"/>
  <c r="T380" i="1"/>
  <c r="L380" i="1"/>
  <c r="J380" i="1"/>
  <c r="I380" i="1"/>
  <c r="H380" i="1"/>
  <c r="G380" i="1"/>
  <c r="P380" i="1" s="1"/>
  <c r="F380" i="1"/>
  <c r="D380" i="1"/>
  <c r="C380" i="1"/>
  <c r="B380" i="1"/>
  <c r="A380" i="1"/>
  <c r="T379" i="1"/>
  <c r="G379" i="1"/>
  <c r="F379" i="1"/>
  <c r="D379" i="1"/>
  <c r="C379" i="1"/>
  <c r="E379" i="1" s="1"/>
  <c r="B379" i="1"/>
  <c r="A379" i="1"/>
  <c r="T378" i="1"/>
  <c r="Q378" i="1"/>
  <c r="P378" i="1"/>
  <c r="J378" i="1"/>
  <c r="I378" i="1"/>
  <c r="G378" i="1"/>
  <c r="L378" i="1" s="1"/>
  <c r="F378" i="1"/>
  <c r="D378" i="1"/>
  <c r="E378" i="1" s="1"/>
  <c r="C378" i="1"/>
  <c r="B378" i="1"/>
  <c r="A378" i="1"/>
  <c r="T377" i="1"/>
  <c r="D377" i="1"/>
  <c r="C377" i="1"/>
  <c r="B377" i="1"/>
  <c r="A377" i="1"/>
  <c r="T376" i="1"/>
  <c r="D376" i="1"/>
  <c r="C376" i="1"/>
  <c r="B376" i="1"/>
  <c r="A376" i="1"/>
  <c r="T375" i="1"/>
  <c r="G375" i="1"/>
  <c r="F375" i="1"/>
  <c r="D375" i="1"/>
  <c r="C375" i="1"/>
  <c r="B375" i="1"/>
  <c r="A375" i="1"/>
  <c r="T374" i="1"/>
  <c r="D374" i="1"/>
  <c r="C374" i="1"/>
  <c r="B374" i="1"/>
  <c r="A374" i="1"/>
  <c r="T373" i="1"/>
  <c r="G373" i="1"/>
  <c r="F373" i="1"/>
  <c r="D373" i="1"/>
  <c r="E373" i="1" s="1"/>
  <c r="C373" i="1"/>
  <c r="B373" i="1"/>
  <c r="A373" i="1"/>
  <c r="T372" i="1"/>
  <c r="F372" i="1"/>
  <c r="D372" i="1"/>
  <c r="C372" i="1"/>
  <c r="B372" i="1"/>
  <c r="A372" i="1"/>
  <c r="T371" i="1"/>
  <c r="H371" i="1"/>
  <c r="G371" i="1"/>
  <c r="D371" i="1"/>
  <c r="F371" i="1" s="1"/>
  <c r="C371" i="1"/>
  <c r="B371" i="1"/>
  <c r="A371" i="1"/>
  <c r="T370" i="1"/>
  <c r="D370" i="1"/>
  <c r="C370" i="1"/>
  <c r="B370" i="1"/>
  <c r="A370" i="1"/>
  <c r="T369" i="1"/>
  <c r="P369" i="1"/>
  <c r="F369" i="1"/>
  <c r="G369" i="1" s="1"/>
  <c r="E369" i="1"/>
  <c r="D369" i="1"/>
  <c r="C369" i="1"/>
  <c r="B369" i="1"/>
  <c r="A369" i="1"/>
  <c r="T368" i="1"/>
  <c r="D368" i="1"/>
  <c r="C368" i="1"/>
  <c r="B368" i="1"/>
  <c r="A368" i="1"/>
  <c r="T367" i="1"/>
  <c r="J367" i="1"/>
  <c r="F367" i="1"/>
  <c r="G367" i="1" s="1"/>
  <c r="E367" i="1"/>
  <c r="D367" i="1"/>
  <c r="C367" i="1"/>
  <c r="B367" i="1"/>
  <c r="A367" i="1"/>
  <c r="T366" i="1"/>
  <c r="G366" i="1"/>
  <c r="D366" i="1"/>
  <c r="F366" i="1" s="1"/>
  <c r="C366" i="1"/>
  <c r="B366" i="1"/>
  <c r="A366" i="1"/>
  <c r="T365" i="1"/>
  <c r="D365" i="1"/>
  <c r="C365" i="1"/>
  <c r="B365" i="1"/>
  <c r="A365" i="1"/>
  <c r="T364" i="1"/>
  <c r="D364" i="1"/>
  <c r="C364" i="1"/>
  <c r="B364" i="1"/>
  <c r="A364" i="1"/>
  <c r="T363" i="1"/>
  <c r="I363" i="1"/>
  <c r="F363" i="1"/>
  <c r="G363" i="1" s="1"/>
  <c r="D363" i="1"/>
  <c r="C363" i="1"/>
  <c r="B363" i="1"/>
  <c r="A363" i="1"/>
  <c r="T362" i="1"/>
  <c r="F362" i="1"/>
  <c r="D362" i="1"/>
  <c r="G362" i="1" s="1"/>
  <c r="C362" i="1"/>
  <c r="E362" i="1" s="1"/>
  <c r="B362" i="1"/>
  <c r="A362" i="1"/>
  <c r="T361" i="1"/>
  <c r="N361" i="1"/>
  <c r="L361" i="1"/>
  <c r="Q361" i="1" s="1"/>
  <c r="R361" i="1" s="1"/>
  <c r="H361" i="1"/>
  <c r="G361" i="1"/>
  <c r="P361" i="1" s="1"/>
  <c r="D361" i="1"/>
  <c r="F361" i="1" s="1"/>
  <c r="C361" i="1"/>
  <c r="B361" i="1"/>
  <c r="A361" i="1"/>
  <c r="T360" i="1"/>
  <c r="G360" i="1"/>
  <c r="F360" i="1"/>
  <c r="D360" i="1"/>
  <c r="C360" i="1"/>
  <c r="B360" i="1"/>
  <c r="A360" i="1"/>
  <c r="T359" i="1"/>
  <c r="F359" i="1"/>
  <c r="G359" i="1" s="1"/>
  <c r="E359" i="1"/>
  <c r="D359" i="1"/>
  <c r="C359" i="1"/>
  <c r="B359" i="1"/>
  <c r="A359" i="1"/>
  <c r="T358" i="1"/>
  <c r="F358" i="1"/>
  <c r="D358" i="1"/>
  <c r="C358" i="1"/>
  <c r="B358" i="1"/>
  <c r="A358" i="1"/>
  <c r="T357" i="1"/>
  <c r="F357" i="1"/>
  <c r="G357" i="1" s="1"/>
  <c r="E357" i="1"/>
  <c r="D357" i="1"/>
  <c r="C357" i="1"/>
  <c r="B357" i="1"/>
  <c r="A357" i="1"/>
  <c r="T356" i="1"/>
  <c r="D356" i="1"/>
  <c r="C356" i="1"/>
  <c r="B356" i="1"/>
  <c r="A356" i="1"/>
  <c r="T355" i="1"/>
  <c r="E355" i="1"/>
  <c r="D355" i="1"/>
  <c r="C355" i="1"/>
  <c r="B355" i="1"/>
  <c r="A355" i="1"/>
  <c r="T354" i="1"/>
  <c r="D354" i="1"/>
  <c r="C354" i="1"/>
  <c r="B354" i="1"/>
  <c r="A354" i="1"/>
  <c r="T353" i="1"/>
  <c r="D353" i="1"/>
  <c r="C353" i="1"/>
  <c r="B353" i="1"/>
  <c r="A353" i="1"/>
  <c r="T352" i="1"/>
  <c r="F352" i="1"/>
  <c r="D352" i="1"/>
  <c r="C352" i="1"/>
  <c r="B352" i="1"/>
  <c r="A352" i="1"/>
  <c r="T351" i="1"/>
  <c r="L351" i="1"/>
  <c r="G351" i="1"/>
  <c r="D351" i="1"/>
  <c r="F351" i="1" s="1"/>
  <c r="C351" i="1"/>
  <c r="B351" i="1"/>
  <c r="A351" i="1"/>
  <c r="T350" i="1"/>
  <c r="F350" i="1"/>
  <c r="G350" i="1" s="1"/>
  <c r="D350" i="1"/>
  <c r="C350" i="1"/>
  <c r="B350" i="1"/>
  <c r="A350" i="1"/>
  <c r="T349" i="1"/>
  <c r="Q349" i="1"/>
  <c r="R349" i="1" s="1"/>
  <c r="P349" i="1"/>
  <c r="O349" i="1"/>
  <c r="L349" i="1"/>
  <c r="N349" i="1" s="1"/>
  <c r="K349" i="1" s="1"/>
  <c r="F349" i="1"/>
  <c r="G349" i="1" s="1"/>
  <c r="H349" i="1" s="1"/>
  <c r="D349" i="1"/>
  <c r="C349" i="1"/>
  <c r="E349" i="1" s="1"/>
  <c r="B349" i="1"/>
  <c r="A349" i="1"/>
  <c r="T348" i="1"/>
  <c r="F348" i="1"/>
  <c r="G348" i="1" s="1"/>
  <c r="D348" i="1"/>
  <c r="E348" i="1" s="1"/>
  <c r="C348" i="1"/>
  <c r="B348" i="1"/>
  <c r="A348" i="1"/>
  <c r="T347" i="1"/>
  <c r="F347" i="1"/>
  <c r="G347" i="1" s="1"/>
  <c r="E347" i="1"/>
  <c r="D347" i="1"/>
  <c r="C347" i="1"/>
  <c r="B347" i="1"/>
  <c r="A347" i="1"/>
  <c r="T346" i="1"/>
  <c r="D346" i="1"/>
  <c r="C346" i="1"/>
  <c r="B346" i="1"/>
  <c r="A346" i="1"/>
  <c r="T345" i="1"/>
  <c r="D345" i="1"/>
  <c r="C345" i="1"/>
  <c r="B345" i="1"/>
  <c r="A345" i="1"/>
  <c r="T344" i="1"/>
  <c r="D344" i="1"/>
  <c r="C344" i="1"/>
  <c r="B344" i="1"/>
  <c r="A344" i="1"/>
  <c r="T343" i="1"/>
  <c r="D343" i="1"/>
  <c r="C343" i="1"/>
  <c r="B343" i="1"/>
  <c r="A343" i="1"/>
  <c r="T342" i="1"/>
  <c r="F342" i="1"/>
  <c r="D342" i="1"/>
  <c r="C342" i="1"/>
  <c r="E342" i="1" s="1"/>
  <c r="B342" i="1"/>
  <c r="A342" i="1"/>
  <c r="T341" i="1"/>
  <c r="L341" i="1"/>
  <c r="J341" i="1"/>
  <c r="H341" i="1"/>
  <c r="G341" i="1"/>
  <c r="P341" i="1" s="1"/>
  <c r="E341" i="1"/>
  <c r="D341" i="1"/>
  <c r="F341" i="1" s="1"/>
  <c r="C341" i="1"/>
  <c r="B341" i="1"/>
  <c r="A341" i="1"/>
  <c r="T340" i="1"/>
  <c r="F340" i="1"/>
  <c r="D340" i="1"/>
  <c r="C340" i="1"/>
  <c r="B340" i="1"/>
  <c r="A340" i="1"/>
  <c r="T339" i="1"/>
  <c r="L339" i="1"/>
  <c r="I339" i="1"/>
  <c r="F339" i="1"/>
  <c r="G339" i="1" s="1"/>
  <c r="D339" i="1"/>
  <c r="C339" i="1"/>
  <c r="E339" i="1" s="1"/>
  <c r="B339" i="1"/>
  <c r="A339" i="1"/>
  <c r="T338" i="1"/>
  <c r="D338" i="1"/>
  <c r="C338" i="1"/>
  <c r="B338" i="1"/>
  <c r="A338" i="1"/>
  <c r="T337" i="1"/>
  <c r="D337" i="1"/>
  <c r="C337" i="1"/>
  <c r="B337" i="1"/>
  <c r="A337" i="1"/>
  <c r="T336" i="1"/>
  <c r="G336" i="1"/>
  <c r="F336" i="1"/>
  <c r="E336" i="1"/>
  <c r="D336" i="1"/>
  <c r="C336" i="1"/>
  <c r="B336" i="1"/>
  <c r="A336" i="1"/>
  <c r="T335" i="1"/>
  <c r="D335" i="1"/>
  <c r="C335" i="1"/>
  <c r="B335" i="1"/>
  <c r="A335" i="1"/>
  <c r="T334" i="1"/>
  <c r="L334" i="1"/>
  <c r="F334" i="1"/>
  <c r="G334" i="1" s="1"/>
  <c r="E334" i="1"/>
  <c r="D334" i="1"/>
  <c r="C334" i="1"/>
  <c r="B334" i="1"/>
  <c r="A334" i="1"/>
  <c r="T333" i="1"/>
  <c r="D333" i="1"/>
  <c r="C333" i="1"/>
  <c r="B333" i="1"/>
  <c r="A333" i="1"/>
  <c r="T332" i="1"/>
  <c r="F332" i="1"/>
  <c r="E332" i="1"/>
  <c r="D332" i="1"/>
  <c r="C332" i="1"/>
  <c r="B332" i="1"/>
  <c r="A332" i="1"/>
  <c r="T331" i="1"/>
  <c r="D331" i="1"/>
  <c r="C331" i="1"/>
  <c r="B331" i="1"/>
  <c r="A331" i="1"/>
  <c r="T330" i="1"/>
  <c r="D330" i="1"/>
  <c r="C330" i="1"/>
  <c r="B330" i="1"/>
  <c r="A330" i="1"/>
  <c r="T329" i="1"/>
  <c r="P329" i="1"/>
  <c r="G329" i="1"/>
  <c r="F329" i="1"/>
  <c r="D329" i="1"/>
  <c r="C329" i="1"/>
  <c r="E329" i="1" s="1"/>
  <c r="B329" i="1"/>
  <c r="A329" i="1"/>
  <c r="T328" i="1"/>
  <c r="D328" i="1"/>
  <c r="C328" i="1"/>
  <c r="B328" i="1"/>
  <c r="A328" i="1"/>
  <c r="T327" i="1"/>
  <c r="F327" i="1"/>
  <c r="E327" i="1"/>
  <c r="D327" i="1"/>
  <c r="C327" i="1"/>
  <c r="B327" i="1"/>
  <c r="A327" i="1"/>
  <c r="T326" i="1"/>
  <c r="D326" i="1"/>
  <c r="C326" i="1"/>
  <c r="B326" i="1"/>
  <c r="A326" i="1"/>
  <c r="T325" i="1"/>
  <c r="D325" i="1"/>
  <c r="C325" i="1"/>
  <c r="B325" i="1"/>
  <c r="A325" i="1"/>
  <c r="T324" i="1"/>
  <c r="G324" i="1"/>
  <c r="D324" i="1"/>
  <c r="F324" i="1" s="1"/>
  <c r="C324" i="1"/>
  <c r="B324" i="1"/>
  <c r="A324" i="1"/>
  <c r="T323" i="1"/>
  <c r="D323" i="1"/>
  <c r="C323" i="1"/>
  <c r="B323" i="1"/>
  <c r="A323" i="1"/>
  <c r="T322" i="1"/>
  <c r="F322" i="1"/>
  <c r="E322" i="1"/>
  <c r="D322" i="1"/>
  <c r="C322" i="1"/>
  <c r="B322" i="1"/>
  <c r="A322" i="1"/>
  <c r="T321" i="1"/>
  <c r="G321" i="1"/>
  <c r="E321" i="1"/>
  <c r="D321" i="1"/>
  <c r="F321" i="1" s="1"/>
  <c r="C321" i="1"/>
  <c r="B321" i="1"/>
  <c r="A321" i="1"/>
  <c r="T320" i="1"/>
  <c r="D320" i="1"/>
  <c r="C320" i="1"/>
  <c r="B320" i="1"/>
  <c r="A320" i="1"/>
  <c r="T319" i="1"/>
  <c r="F319" i="1"/>
  <c r="G319" i="1" s="1"/>
  <c r="D319" i="1"/>
  <c r="C319" i="1"/>
  <c r="E319" i="1" s="1"/>
  <c r="B319" i="1"/>
  <c r="A319" i="1"/>
  <c r="T318" i="1"/>
  <c r="D318" i="1"/>
  <c r="C318" i="1"/>
  <c r="B318" i="1"/>
  <c r="A318" i="1"/>
  <c r="T317" i="1"/>
  <c r="D317" i="1"/>
  <c r="C317" i="1"/>
  <c r="B317" i="1"/>
  <c r="A317" i="1"/>
  <c r="T316" i="1"/>
  <c r="D316" i="1"/>
  <c r="C316" i="1"/>
  <c r="B316" i="1"/>
  <c r="A316" i="1"/>
  <c r="T315" i="1"/>
  <c r="D315" i="1"/>
  <c r="F315" i="1" s="1"/>
  <c r="G315" i="1" s="1"/>
  <c r="C315" i="1"/>
  <c r="B315" i="1"/>
  <c r="A315" i="1"/>
  <c r="T314" i="1"/>
  <c r="N314" i="1"/>
  <c r="M314" i="1"/>
  <c r="L314" i="1"/>
  <c r="Q314" i="1" s="1"/>
  <c r="J314" i="1"/>
  <c r="I314" i="1"/>
  <c r="F314" i="1"/>
  <c r="G314" i="1" s="1"/>
  <c r="E314" i="1"/>
  <c r="D314" i="1"/>
  <c r="C314" i="1"/>
  <c r="B314" i="1"/>
  <c r="A314" i="1"/>
  <c r="T313" i="1"/>
  <c r="F313" i="1"/>
  <c r="G313" i="1" s="1"/>
  <c r="E313" i="1"/>
  <c r="D313" i="1"/>
  <c r="C313" i="1"/>
  <c r="B313" i="1"/>
  <c r="A313" i="1"/>
  <c r="T312" i="1"/>
  <c r="E312" i="1"/>
  <c r="D312" i="1"/>
  <c r="C312" i="1"/>
  <c r="B312" i="1"/>
  <c r="A312" i="1"/>
  <c r="T311" i="1"/>
  <c r="D311" i="1"/>
  <c r="C311" i="1"/>
  <c r="B311" i="1"/>
  <c r="A311" i="1"/>
  <c r="T310" i="1"/>
  <c r="J310" i="1"/>
  <c r="G310" i="1"/>
  <c r="D310" i="1"/>
  <c r="F310" i="1" s="1"/>
  <c r="C310" i="1"/>
  <c r="E310" i="1" s="1"/>
  <c r="B310" i="1"/>
  <c r="A310" i="1"/>
  <c r="T309" i="1"/>
  <c r="L309" i="1"/>
  <c r="J309" i="1"/>
  <c r="G309" i="1"/>
  <c r="D309" i="1"/>
  <c r="F309" i="1" s="1"/>
  <c r="C309" i="1"/>
  <c r="B309" i="1"/>
  <c r="A309" i="1"/>
  <c r="T308" i="1"/>
  <c r="D308" i="1"/>
  <c r="C308" i="1"/>
  <c r="B308" i="1"/>
  <c r="A308" i="1"/>
  <c r="T307" i="1"/>
  <c r="F307" i="1"/>
  <c r="G307" i="1" s="1"/>
  <c r="D307" i="1"/>
  <c r="E307" i="1" s="1"/>
  <c r="C307" i="1"/>
  <c r="B307" i="1"/>
  <c r="A307" i="1"/>
  <c r="T306" i="1"/>
  <c r="D306" i="1"/>
  <c r="C306" i="1"/>
  <c r="E306" i="1" s="1"/>
  <c r="B306" i="1"/>
  <c r="A306" i="1"/>
  <c r="T305" i="1"/>
  <c r="D305" i="1"/>
  <c r="C305" i="1"/>
  <c r="B305" i="1"/>
  <c r="A305" i="1"/>
  <c r="T304" i="1"/>
  <c r="G304" i="1"/>
  <c r="D304" i="1"/>
  <c r="F304" i="1" s="1"/>
  <c r="C304" i="1"/>
  <c r="B304" i="1"/>
  <c r="A304" i="1"/>
  <c r="T303" i="1"/>
  <c r="D303" i="1"/>
  <c r="C303" i="1"/>
  <c r="B303" i="1"/>
  <c r="A303" i="1"/>
  <c r="T302" i="1"/>
  <c r="H302" i="1"/>
  <c r="F302" i="1"/>
  <c r="E302" i="1"/>
  <c r="D302" i="1"/>
  <c r="G302" i="1" s="1"/>
  <c r="C302" i="1"/>
  <c r="B302" i="1"/>
  <c r="A302" i="1"/>
  <c r="T301" i="1"/>
  <c r="D301" i="1"/>
  <c r="C301" i="1"/>
  <c r="B301" i="1"/>
  <c r="A301" i="1"/>
  <c r="T300" i="1"/>
  <c r="J300" i="1"/>
  <c r="I300" i="1"/>
  <c r="H300" i="1"/>
  <c r="G300" i="1"/>
  <c r="P300" i="1" s="1"/>
  <c r="F300" i="1"/>
  <c r="D300" i="1"/>
  <c r="C300" i="1"/>
  <c r="B300" i="1"/>
  <c r="A300" i="1"/>
  <c r="T299" i="1"/>
  <c r="J299" i="1"/>
  <c r="I299" i="1"/>
  <c r="G299" i="1"/>
  <c r="F299" i="1"/>
  <c r="E299" i="1"/>
  <c r="D299" i="1"/>
  <c r="C299" i="1"/>
  <c r="B299" i="1"/>
  <c r="A299" i="1"/>
  <c r="T298" i="1"/>
  <c r="F298" i="1"/>
  <c r="E298" i="1"/>
  <c r="D298" i="1"/>
  <c r="C298" i="1"/>
  <c r="B298" i="1"/>
  <c r="A298" i="1"/>
  <c r="T297" i="1"/>
  <c r="D297" i="1"/>
  <c r="C297" i="1"/>
  <c r="B297" i="1"/>
  <c r="A297" i="1"/>
  <c r="T296" i="1"/>
  <c r="D296" i="1"/>
  <c r="C296" i="1"/>
  <c r="B296" i="1"/>
  <c r="A296" i="1"/>
  <c r="T295" i="1"/>
  <c r="L295" i="1"/>
  <c r="I295" i="1"/>
  <c r="F295" i="1"/>
  <c r="G295" i="1" s="1"/>
  <c r="E295" i="1"/>
  <c r="D295" i="1"/>
  <c r="C295" i="1"/>
  <c r="B295" i="1"/>
  <c r="A295" i="1"/>
  <c r="T294" i="1"/>
  <c r="D294" i="1"/>
  <c r="C294" i="1"/>
  <c r="E294" i="1" s="1"/>
  <c r="B294" i="1"/>
  <c r="A294" i="1"/>
  <c r="T293" i="1"/>
  <c r="D293" i="1"/>
  <c r="C293" i="1"/>
  <c r="B293" i="1"/>
  <c r="A293" i="1"/>
  <c r="T292" i="1"/>
  <c r="P292" i="1"/>
  <c r="L292" i="1"/>
  <c r="H292" i="1"/>
  <c r="G292" i="1"/>
  <c r="I292" i="1" s="1"/>
  <c r="D292" i="1"/>
  <c r="F292" i="1" s="1"/>
  <c r="C292" i="1"/>
  <c r="E292" i="1" s="1"/>
  <c r="B292" i="1"/>
  <c r="A292" i="1"/>
  <c r="T291" i="1"/>
  <c r="D291" i="1"/>
  <c r="C291" i="1"/>
  <c r="B291" i="1"/>
  <c r="A291" i="1"/>
  <c r="O290" i="1"/>
  <c r="N290" i="1"/>
  <c r="M290" i="1"/>
  <c r="K290" i="1"/>
  <c r="F290" i="1"/>
  <c r="G290" i="1" s="1"/>
  <c r="D290" i="1"/>
  <c r="C290" i="1"/>
  <c r="B290" i="1"/>
  <c r="A290" i="1"/>
  <c r="N289" i="1"/>
  <c r="K289" i="1" s="1"/>
  <c r="M289" i="1"/>
  <c r="D289" i="1"/>
  <c r="C289" i="1"/>
  <c r="Q289" i="1" s="1"/>
  <c r="B289" i="1"/>
  <c r="A289" i="1"/>
  <c r="N288" i="1"/>
  <c r="O288" i="1" s="1"/>
  <c r="M288" i="1"/>
  <c r="K288" i="1"/>
  <c r="D288" i="1"/>
  <c r="C288" i="1"/>
  <c r="Q288" i="1" s="1"/>
  <c r="B288" i="1"/>
  <c r="A288" i="1"/>
  <c r="O287" i="1"/>
  <c r="N287" i="1"/>
  <c r="M287" i="1"/>
  <c r="K287" i="1"/>
  <c r="J287" i="1"/>
  <c r="I287" i="1"/>
  <c r="F287" i="1"/>
  <c r="G287" i="1" s="1"/>
  <c r="D287" i="1"/>
  <c r="C287" i="1"/>
  <c r="B287" i="1"/>
  <c r="A287" i="1"/>
  <c r="N286" i="1"/>
  <c r="K286" i="1" s="1"/>
  <c r="M286" i="1"/>
  <c r="D286" i="1"/>
  <c r="C286" i="1"/>
  <c r="Q286" i="1" s="1"/>
  <c r="B286" i="1"/>
  <c r="A286" i="1"/>
  <c r="Q285" i="1"/>
  <c r="O285" i="1"/>
  <c r="N285" i="1"/>
  <c r="M285" i="1"/>
  <c r="K285" i="1"/>
  <c r="E285" i="1"/>
  <c r="D285" i="1"/>
  <c r="C285" i="1"/>
  <c r="B285" i="1"/>
  <c r="A285" i="1"/>
  <c r="Q284" i="1"/>
  <c r="N284" i="1"/>
  <c r="K284" i="1" s="1"/>
  <c r="M284" i="1"/>
  <c r="F284" i="1"/>
  <c r="G284" i="1" s="1"/>
  <c r="E284" i="1"/>
  <c r="D284" i="1"/>
  <c r="C284" i="1"/>
  <c r="B284" i="1"/>
  <c r="A284" i="1"/>
  <c r="N283" i="1"/>
  <c r="M283" i="1"/>
  <c r="D283" i="1"/>
  <c r="C283" i="1"/>
  <c r="Q283" i="1" s="1"/>
  <c r="B283" i="1"/>
  <c r="A283" i="1"/>
  <c r="Q282" i="1"/>
  <c r="N282" i="1"/>
  <c r="K282" i="1" s="1"/>
  <c r="M282" i="1"/>
  <c r="D282" i="1"/>
  <c r="C282" i="1"/>
  <c r="B282" i="1"/>
  <c r="A282" i="1"/>
  <c r="Q281" i="1"/>
  <c r="O281" i="1"/>
  <c r="N281" i="1"/>
  <c r="M281" i="1"/>
  <c r="K281" i="1"/>
  <c r="D281" i="1"/>
  <c r="C281" i="1"/>
  <c r="B281" i="1"/>
  <c r="A281" i="1"/>
  <c r="Q280" i="1"/>
  <c r="N280" i="1"/>
  <c r="M280" i="1"/>
  <c r="F280" i="1"/>
  <c r="G280" i="1" s="1"/>
  <c r="E280" i="1"/>
  <c r="D280" i="1"/>
  <c r="C280" i="1"/>
  <c r="B280" i="1"/>
  <c r="A280" i="1"/>
  <c r="Q279" i="1"/>
  <c r="N279" i="1"/>
  <c r="M279" i="1"/>
  <c r="G279" i="1"/>
  <c r="E279" i="1"/>
  <c r="D279" i="1"/>
  <c r="F279" i="1" s="1"/>
  <c r="C279" i="1"/>
  <c r="B279" i="1"/>
  <c r="A279" i="1"/>
  <c r="Q278" i="1"/>
  <c r="O278" i="1"/>
  <c r="N278" i="1"/>
  <c r="K278" i="1" s="1"/>
  <c r="M278" i="1"/>
  <c r="F278" i="1"/>
  <c r="E278" i="1"/>
  <c r="D278" i="1"/>
  <c r="C278" i="1"/>
  <c r="B278" i="1"/>
  <c r="A278" i="1"/>
  <c r="Q277" i="1"/>
  <c r="N277" i="1"/>
  <c r="O277" i="1" s="1"/>
  <c r="M277" i="1"/>
  <c r="K277" i="1"/>
  <c r="G277" i="1"/>
  <c r="F277" i="1"/>
  <c r="E277" i="1"/>
  <c r="D277" i="1"/>
  <c r="C277" i="1"/>
  <c r="B277" i="1"/>
  <c r="A277" i="1"/>
  <c r="Q276" i="1"/>
  <c r="N276" i="1"/>
  <c r="K276" i="1" s="1"/>
  <c r="M276" i="1"/>
  <c r="D276" i="1"/>
  <c r="C276" i="1"/>
  <c r="B276" i="1"/>
  <c r="A276" i="1"/>
  <c r="N275" i="1"/>
  <c r="M275" i="1"/>
  <c r="D275" i="1"/>
  <c r="F275" i="1" s="1"/>
  <c r="G275" i="1" s="1"/>
  <c r="C275" i="1"/>
  <c r="Q275" i="1" s="1"/>
  <c r="B275" i="1"/>
  <c r="A275" i="1"/>
  <c r="O274" i="1"/>
  <c r="N274" i="1"/>
  <c r="M274" i="1"/>
  <c r="K274" i="1"/>
  <c r="D274" i="1"/>
  <c r="C274" i="1"/>
  <c r="Q274" i="1" s="1"/>
  <c r="B274" i="1"/>
  <c r="A274" i="1"/>
  <c r="P273" i="1"/>
  <c r="F273" i="1"/>
  <c r="G273" i="1" s="1"/>
  <c r="E273" i="1"/>
  <c r="D273" i="1"/>
  <c r="C273" i="1"/>
  <c r="B273" i="1"/>
  <c r="A273" i="1"/>
  <c r="D272" i="1"/>
  <c r="C272" i="1"/>
  <c r="E272" i="1" s="1"/>
  <c r="B272" i="1"/>
  <c r="A272" i="1"/>
  <c r="D271" i="1"/>
  <c r="C271" i="1"/>
  <c r="B271" i="1"/>
  <c r="A271" i="1"/>
  <c r="D270" i="1"/>
  <c r="C270" i="1"/>
  <c r="B270" i="1"/>
  <c r="A270" i="1"/>
  <c r="D269" i="1"/>
  <c r="C269" i="1"/>
  <c r="B269" i="1"/>
  <c r="A269" i="1"/>
  <c r="L268" i="1"/>
  <c r="F268" i="1"/>
  <c r="G268" i="1" s="1"/>
  <c r="E268" i="1"/>
  <c r="D268" i="1"/>
  <c r="C268" i="1"/>
  <c r="B268" i="1"/>
  <c r="A268" i="1"/>
  <c r="G267" i="1"/>
  <c r="F267" i="1"/>
  <c r="E267" i="1"/>
  <c r="D267" i="1"/>
  <c r="C267" i="1"/>
  <c r="B267" i="1"/>
  <c r="A267" i="1"/>
  <c r="D266" i="1"/>
  <c r="C266" i="1"/>
  <c r="B266" i="1"/>
  <c r="A266" i="1"/>
  <c r="G265" i="1"/>
  <c r="F265" i="1"/>
  <c r="D265" i="1"/>
  <c r="C265" i="1"/>
  <c r="B265" i="1"/>
  <c r="A265" i="1"/>
  <c r="D264" i="1"/>
  <c r="C264" i="1"/>
  <c r="B264" i="1"/>
  <c r="A264" i="1"/>
  <c r="P263" i="1"/>
  <c r="F263" i="1"/>
  <c r="G263" i="1" s="1"/>
  <c r="E263" i="1"/>
  <c r="D263" i="1"/>
  <c r="C263" i="1"/>
  <c r="B263" i="1"/>
  <c r="A263" i="1"/>
  <c r="D262" i="1"/>
  <c r="C262" i="1"/>
  <c r="B262" i="1"/>
  <c r="A262" i="1"/>
  <c r="N261" i="1"/>
  <c r="O261" i="1" s="1"/>
  <c r="M261" i="1"/>
  <c r="K261" i="1"/>
  <c r="J261" i="1"/>
  <c r="I261" i="1"/>
  <c r="H261" i="1"/>
  <c r="G261" i="1"/>
  <c r="P261" i="1" s="1"/>
  <c r="F261" i="1"/>
  <c r="D261" i="1"/>
  <c r="C261" i="1"/>
  <c r="B261" i="1"/>
  <c r="A261" i="1"/>
  <c r="O260" i="1"/>
  <c r="N260" i="1"/>
  <c r="M260" i="1"/>
  <c r="K260" i="1"/>
  <c r="G260" i="1"/>
  <c r="F260" i="1"/>
  <c r="E260" i="1"/>
  <c r="D260" i="1"/>
  <c r="C260" i="1"/>
  <c r="Q260" i="1" s="1"/>
  <c r="B260" i="1"/>
  <c r="A260" i="1"/>
  <c r="D259" i="1"/>
  <c r="C259" i="1"/>
  <c r="B259" i="1"/>
  <c r="A259" i="1"/>
  <c r="F258" i="1"/>
  <c r="G258" i="1" s="1"/>
  <c r="E258" i="1"/>
  <c r="D258" i="1"/>
  <c r="C258" i="1"/>
  <c r="B258" i="1"/>
  <c r="A258" i="1"/>
  <c r="D257" i="1"/>
  <c r="C257" i="1"/>
  <c r="B257" i="1"/>
  <c r="A257" i="1"/>
  <c r="F256" i="1"/>
  <c r="D256" i="1"/>
  <c r="C256" i="1"/>
  <c r="B256" i="1"/>
  <c r="A256" i="1"/>
  <c r="F255" i="1"/>
  <c r="E255" i="1"/>
  <c r="D255" i="1"/>
  <c r="C255" i="1"/>
  <c r="B255" i="1"/>
  <c r="A255" i="1"/>
  <c r="Q254" i="1"/>
  <c r="N254" i="1"/>
  <c r="M254" i="1"/>
  <c r="J254" i="1"/>
  <c r="F254" i="1"/>
  <c r="G254" i="1" s="1"/>
  <c r="P254" i="1" s="1"/>
  <c r="D254" i="1"/>
  <c r="C254" i="1"/>
  <c r="E254" i="1" s="1"/>
  <c r="B254" i="1"/>
  <c r="A254" i="1"/>
  <c r="Q253" i="1"/>
  <c r="O253" i="1"/>
  <c r="N253" i="1"/>
  <c r="M253" i="1"/>
  <c r="K253" i="1"/>
  <c r="D253" i="1"/>
  <c r="C253" i="1"/>
  <c r="B253" i="1"/>
  <c r="A253" i="1"/>
  <c r="O252" i="1"/>
  <c r="N252" i="1"/>
  <c r="M252" i="1"/>
  <c r="K252" i="1"/>
  <c r="E252" i="1"/>
  <c r="D252" i="1"/>
  <c r="C252" i="1"/>
  <c r="Q252" i="1" s="1"/>
  <c r="B252" i="1"/>
  <c r="A252" i="1"/>
  <c r="N251" i="1"/>
  <c r="O251" i="1" s="1"/>
  <c r="M251" i="1"/>
  <c r="K251" i="1"/>
  <c r="E251" i="1"/>
  <c r="D251" i="1"/>
  <c r="C251" i="1"/>
  <c r="Q251" i="1" s="1"/>
  <c r="B251" i="1"/>
  <c r="A251" i="1"/>
  <c r="O250" i="1"/>
  <c r="N250" i="1"/>
  <c r="M250" i="1"/>
  <c r="K250" i="1"/>
  <c r="D250" i="1"/>
  <c r="C250" i="1"/>
  <c r="Q250" i="1" s="1"/>
  <c r="B250" i="1"/>
  <c r="A250" i="1"/>
  <c r="D249" i="1"/>
  <c r="C249" i="1"/>
  <c r="B249" i="1"/>
  <c r="A249" i="1"/>
  <c r="G248" i="1"/>
  <c r="F248" i="1"/>
  <c r="E248" i="1"/>
  <c r="D248" i="1"/>
  <c r="C248" i="1"/>
  <c r="B248" i="1"/>
  <c r="A248" i="1"/>
  <c r="N247" i="1"/>
  <c r="O247" i="1" s="1"/>
  <c r="M247" i="1"/>
  <c r="K247" i="1"/>
  <c r="D247" i="1"/>
  <c r="C247" i="1"/>
  <c r="Q247" i="1" s="1"/>
  <c r="B247" i="1"/>
  <c r="A247" i="1"/>
  <c r="Q246" i="1"/>
  <c r="N246" i="1"/>
  <c r="O246" i="1" s="1"/>
  <c r="M246" i="1"/>
  <c r="K246" i="1"/>
  <c r="F246" i="1"/>
  <c r="D246" i="1"/>
  <c r="G246" i="1" s="1"/>
  <c r="C246" i="1"/>
  <c r="B246" i="1"/>
  <c r="A246" i="1"/>
  <c r="O245" i="1"/>
  <c r="N245" i="1"/>
  <c r="M245" i="1"/>
  <c r="K245" i="1"/>
  <c r="D245" i="1"/>
  <c r="C245" i="1"/>
  <c r="Q245" i="1" s="1"/>
  <c r="B245" i="1"/>
  <c r="A245" i="1"/>
  <c r="O244" i="1"/>
  <c r="N244" i="1"/>
  <c r="M244" i="1"/>
  <c r="K244" i="1"/>
  <c r="D244" i="1"/>
  <c r="C244" i="1"/>
  <c r="Q244" i="1" s="1"/>
  <c r="B244" i="1"/>
  <c r="A244" i="1"/>
  <c r="Q243" i="1"/>
  <c r="O243" i="1"/>
  <c r="N243" i="1"/>
  <c r="M243" i="1"/>
  <c r="K243" i="1"/>
  <c r="G243" i="1"/>
  <c r="F243" i="1"/>
  <c r="D243" i="1"/>
  <c r="E243" i="1" s="1"/>
  <c r="C243" i="1"/>
  <c r="B243" i="1"/>
  <c r="A243" i="1"/>
  <c r="G242" i="1"/>
  <c r="D242" i="1"/>
  <c r="F242" i="1" s="1"/>
  <c r="C242" i="1"/>
  <c r="B242" i="1"/>
  <c r="A242" i="1"/>
  <c r="D241" i="1"/>
  <c r="C241" i="1"/>
  <c r="B241" i="1"/>
  <c r="A241" i="1"/>
  <c r="D240" i="1"/>
  <c r="C240" i="1"/>
  <c r="B240" i="1"/>
  <c r="A240" i="1"/>
  <c r="D239" i="1"/>
  <c r="C239" i="1"/>
  <c r="B239" i="1"/>
  <c r="A239" i="1"/>
  <c r="H238" i="1"/>
  <c r="F238" i="1"/>
  <c r="G238" i="1" s="1"/>
  <c r="E238" i="1"/>
  <c r="D238" i="1"/>
  <c r="C238" i="1"/>
  <c r="B238" i="1"/>
  <c r="A238" i="1"/>
  <c r="L237" i="1"/>
  <c r="Q237" i="1" s="1"/>
  <c r="F237" i="1"/>
  <c r="G237" i="1" s="1"/>
  <c r="D237" i="1"/>
  <c r="E237" i="1" s="1"/>
  <c r="C237" i="1"/>
  <c r="B237" i="1"/>
  <c r="A237" i="1"/>
  <c r="D236" i="1"/>
  <c r="F236" i="1" s="1"/>
  <c r="G236" i="1" s="1"/>
  <c r="C236" i="1"/>
  <c r="B236" i="1"/>
  <c r="A236" i="1"/>
  <c r="G235" i="1"/>
  <c r="F235" i="1"/>
  <c r="D235" i="1"/>
  <c r="E235" i="1" s="1"/>
  <c r="C235" i="1"/>
  <c r="B235" i="1"/>
  <c r="A235" i="1"/>
  <c r="F234" i="1"/>
  <c r="G234" i="1" s="1"/>
  <c r="E234" i="1"/>
  <c r="D234" i="1"/>
  <c r="C234" i="1"/>
  <c r="B234" i="1"/>
  <c r="A234" i="1"/>
  <c r="D233" i="1"/>
  <c r="C233" i="1"/>
  <c r="B233" i="1"/>
  <c r="A233" i="1"/>
  <c r="F232" i="1"/>
  <c r="G232" i="1" s="1"/>
  <c r="E232" i="1"/>
  <c r="D232" i="1"/>
  <c r="C232" i="1"/>
  <c r="B232" i="1"/>
  <c r="A232" i="1"/>
  <c r="D231" i="1"/>
  <c r="C231" i="1"/>
  <c r="B231" i="1"/>
  <c r="A231" i="1"/>
  <c r="F230" i="1"/>
  <c r="E230" i="1"/>
  <c r="D230" i="1"/>
  <c r="C230" i="1"/>
  <c r="B230" i="1"/>
  <c r="A230" i="1"/>
  <c r="F229" i="1"/>
  <c r="G229" i="1" s="1"/>
  <c r="D229" i="1"/>
  <c r="C229" i="1"/>
  <c r="B229" i="1"/>
  <c r="A229" i="1"/>
  <c r="D228" i="1"/>
  <c r="C228" i="1"/>
  <c r="B228" i="1"/>
  <c r="A228" i="1"/>
  <c r="N227" i="1"/>
  <c r="M227" i="1"/>
  <c r="D227" i="1"/>
  <c r="C227" i="1"/>
  <c r="Q227" i="1" s="1"/>
  <c r="B227" i="1"/>
  <c r="A227" i="1"/>
  <c r="H226" i="1"/>
  <c r="G226" i="1"/>
  <c r="D226" i="1"/>
  <c r="F226" i="1" s="1"/>
  <c r="C226" i="1"/>
  <c r="E226" i="1" s="1"/>
  <c r="B226" i="1"/>
  <c r="A226" i="1"/>
  <c r="F225" i="1"/>
  <c r="E225" i="1"/>
  <c r="D225" i="1"/>
  <c r="C225" i="1"/>
  <c r="B225" i="1"/>
  <c r="A225" i="1"/>
  <c r="D224" i="1"/>
  <c r="C224" i="1"/>
  <c r="E224" i="1" s="1"/>
  <c r="B224" i="1"/>
  <c r="A224" i="1"/>
  <c r="D223" i="1"/>
  <c r="F223" i="1" s="1"/>
  <c r="G223" i="1" s="1"/>
  <c r="C223" i="1"/>
  <c r="B223" i="1"/>
  <c r="A223" i="1"/>
  <c r="J222" i="1"/>
  <c r="I222" i="1"/>
  <c r="H222" i="1"/>
  <c r="F222" i="1"/>
  <c r="G222" i="1" s="1"/>
  <c r="E222" i="1"/>
  <c r="D222" i="1"/>
  <c r="C222" i="1"/>
  <c r="B222" i="1"/>
  <c r="A222" i="1"/>
  <c r="N221" i="1"/>
  <c r="O221" i="1" s="1"/>
  <c r="M221" i="1"/>
  <c r="K221" i="1"/>
  <c r="D221" i="1"/>
  <c r="C221" i="1"/>
  <c r="Q221" i="1" s="1"/>
  <c r="B221" i="1"/>
  <c r="A221" i="1"/>
  <c r="N220" i="1"/>
  <c r="M220" i="1"/>
  <c r="D220" i="1"/>
  <c r="C220" i="1"/>
  <c r="Q220" i="1" s="1"/>
  <c r="B220" i="1"/>
  <c r="A220" i="1"/>
  <c r="Q219" i="1"/>
  <c r="N219" i="1"/>
  <c r="O219" i="1" s="1"/>
  <c r="M219" i="1"/>
  <c r="K219" i="1"/>
  <c r="I219" i="1"/>
  <c r="D219" i="1"/>
  <c r="F219" i="1" s="1"/>
  <c r="G219" i="1" s="1"/>
  <c r="C219" i="1"/>
  <c r="B219" i="1"/>
  <c r="A219" i="1"/>
  <c r="O218" i="1"/>
  <c r="N218" i="1"/>
  <c r="K218" i="1" s="1"/>
  <c r="M218" i="1"/>
  <c r="D218" i="1"/>
  <c r="C218" i="1"/>
  <c r="Q218" i="1" s="1"/>
  <c r="B218" i="1"/>
  <c r="A218" i="1"/>
  <c r="N217" i="1"/>
  <c r="O217" i="1" s="1"/>
  <c r="M217" i="1"/>
  <c r="K217" i="1"/>
  <c r="D217" i="1"/>
  <c r="C217" i="1"/>
  <c r="Q217" i="1" s="1"/>
  <c r="B217" i="1"/>
  <c r="A217" i="1"/>
  <c r="Q216" i="1"/>
  <c r="N216" i="1"/>
  <c r="K216" i="1" s="1"/>
  <c r="M216" i="1"/>
  <c r="G216" i="1"/>
  <c r="D216" i="1"/>
  <c r="F216" i="1" s="1"/>
  <c r="C216" i="1"/>
  <c r="B216" i="1"/>
  <c r="A216" i="1"/>
  <c r="Q215" i="1"/>
  <c r="N215" i="1"/>
  <c r="O215" i="1" s="1"/>
  <c r="M215" i="1"/>
  <c r="K215" i="1"/>
  <c r="D215" i="1"/>
  <c r="C215" i="1"/>
  <c r="B215" i="1"/>
  <c r="A215" i="1"/>
  <c r="P214" i="1"/>
  <c r="L214" i="1"/>
  <c r="J214" i="1"/>
  <c r="H214" i="1"/>
  <c r="G214" i="1"/>
  <c r="I214" i="1" s="1"/>
  <c r="F214" i="1"/>
  <c r="D214" i="1"/>
  <c r="C214" i="1"/>
  <c r="E214" i="1" s="1"/>
  <c r="B214" i="1"/>
  <c r="A214" i="1"/>
  <c r="G213" i="1"/>
  <c r="F213" i="1"/>
  <c r="D213" i="1"/>
  <c r="C213" i="1"/>
  <c r="E213" i="1" s="1"/>
  <c r="B213" i="1"/>
  <c r="A213" i="1"/>
  <c r="F212" i="1"/>
  <c r="D212" i="1"/>
  <c r="C212" i="1"/>
  <c r="E212" i="1" s="1"/>
  <c r="B212" i="1"/>
  <c r="A212" i="1"/>
  <c r="Q211" i="1"/>
  <c r="N211" i="1"/>
  <c r="O211" i="1" s="1"/>
  <c r="M211" i="1"/>
  <c r="K211" i="1"/>
  <c r="H211" i="1"/>
  <c r="G211" i="1"/>
  <c r="E211" i="1"/>
  <c r="D211" i="1"/>
  <c r="F211" i="1" s="1"/>
  <c r="C211" i="1"/>
  <c r="B211" i="1"/>
  <c r="A211" i="1"/>
  <c r="Q210" i="1"/>
  <c r="O210" i="1"/>
  <c r="N210" i="1"/>
  <c r="K210" i="1" s="1"/>
  <c r="M210" i="1"/>
  <c r="G210" i="1"/>
  <c r="D210" i="1"/>
  <c r="F210" i="1" s="1"/>
  <c r="C210" i="1"/>
  <c r="B210" i="1"/>
  <c r="A210" i="1"/>
  <c r="Q209" i="1"/>
  <c r="N209" i="1"/>
  <c r="M209" i="1"/>
  <c r="D209" i="1"/>
  <c r="C209" i="1"/>
  <c r="B209" i="1"/>
  <c r="A209" i="1"/>
  <c r="Q208" i="1"/>
  <c r="N208" i="1"/>
  <c r="O208" i="1" s="1"/>
  <c r="M208" i="1"/>
  <c r="K208" i="1"/>
  <c r="G208" i="1"/>
  <c r="F208" i="1"/>
  <c r="D208" i="1"/>
  <c r="E208" i="1" s="1"/>
  <c r="C208" i="1"/>
  <c r="B208" i="1"/>
  <c r="A208" i="1"/>
  <c r="Q207" i="1"/>
  <c r="O207" i="1"/>
  <c r="N207" i="1"/>
  <c r="M207" i="1"/>
  <c r="K207" i="1"/>
  <c r="D207" i="1"/>
  <c r="C207" i="1"/>
  <c r="B207" i="1"/>
  <c r="A207" i="1"/>
  <c r="Q206" i="1"/>
  <c r="N206" i="1"/>
  <c r="O206" i="1" s="1"/>
  <c r="M206" i="1"/>
  <c r="K206" i="1"/>
  <c r="D206" i="1"/>
  <c r="C206" i="1"/>
  <c r="B206" i="1"/>
  <c r="A206" i="1"/>
  <c r="N205" i="1"/>
  <c r="O205" i="1" s="1"/>
  <c r="M205" i="1"/>
  <c r="K205" i="1"/>
  <c r="H205" i="1"/>
  <c r="F205" i="1"/>
  <c r="G205" i="1" s="1"/>
  <c r="P205" i="1" s="1"/>
  <c r="R205" i="1" s="1"/>
  <c r="E205" i="1"/>
  <c r="D205" i="1"/>
  <c r="C205" i="1"/>
  <c r="Q205" i="1" s="1"/>
  <c r="B205" i="1"/>
  <c r="A205" i="1"/>
  <c r="H204" i="1"/>
  <c r="G204" i="1"/>
  <c r="F204" i="1"/>
  <c r="E204" i="1"/>
  <c r="D204" i="1"/>
  <c r="C204" i="1"/>
  <c r="B204" i="1"/>
  <c r="A204" i="1"/>
  <c r="D203" i="1"/>
  <c r="C203" i="1"/>
  <c r="B203" i="1"/>
  <c r="A203" i="1"/>
  <c r="E202" i="1"/>
  <c r="D202" i="1"/>
  <c r="C202" i="1"/>
  <c r="B202" i="1"/>
  <c r="A202" i="1"/>
  <c r="F201" i="1"/>
  <c r="D201" i="1"/>
  <c r="C201" i="1"/>
  <c r="E201" i="1" s="1"/>
  <c r="B201" i="1"/>
  <c r="A201" i="1"/>
  <c r="D200" i="1"/>
  <c r="C200" i="1"/>
  <c r="B200" i="1"/>
  <c r="A200" i="1"/>
  <c r="L199" i="1"/>
  <c r="J199" i="1"/>
  <c r="I199" i="1"/>
  <c r="F199" i="1"/>
  <c r="G199" i="1" s="1"/>
  <c r="E199" i="1"/>
  <c r="D199" i="1"/>
  <c r="C199" i="1"/>
  <c r="B199" i="1"/>
  <c r="A199" i="1"/>
  <c r="F198" i="1"/>
  <c r="G198" i="1" s="1"/>
  <c r="E198" i="1"/>
  <c r="D198" i="1"/>
  <c r="C198" i="1"/>
  <c r="B198" i="1"/>
  <c r="A198" i="1"/>
  <c r="E197" i="1"/>
  <c r="D197" i="1"/>
  <c r="C197" i="1"/>
  <c r="B197" i="1"/>
  <c r="A197" i="1"/>
  <c r="D196" i="1"/>
  <c r="C196" i="1"/>
  <c r="B196" i="1"/>
  <c r="A196" i="1"/>
  <c r="F195" i="1"/>
  <c r="E195" i="1"/>
  <c r="D195" i="1"/>
  <c r="C195" i="1"/>
  <c r="B195" i="1"/>
  <c r="A195" i="1"/>
  <c r="D194" i="1"/>
  <c r="C194" i="1"/>
  <c r="B194" i="1"/>
  <c r="A194" i="1"/>
  <c r="Q193" i="1"/>
  <c r="P193" i="1"/>
  <c r="R193" i="1" s="1"/>
  <c r="J193" i="1"/>
  <c r="I193" i="1"/>
  <c r="H193" i="1"/>
  <c r="D193" i="1"/>
  <c r="F193" i="1" s="1"/>
  <c r="G193" i="1" s="1"/>
  <c r="L193" i="1" s="1"/>
  <c r="C193" i="1"/>
  <c r="B193" i="1"/>
  <c r="A193" i="1"/>
  <c r="Q192" i="1"/>
  <c r="N192" i="1"/>
  <c r="O192" i="1" s="1"/>
  <c r="M192" i="1"/>
  <c r="K192" i="1"/>
  <c r="D192" i="1"/>
  <c r="C192" i="1"/>
  <c r="B192" i="1"/>
  <c r="A192" i="1"/>
  <c r="P191" i="1"/>
  <c r="D191" i="1"/>
  <c r="F191" i="1" s="1"/>
  <c r="G191" i="1" s="1"/>
  <c r="L191" i="1" s="1"/>
  <c r="C191" i="1"/>
  <c r="B191" i="1"/>
  <c r="A191" i="1"/>
  <c r="F190" i="1"/>
  <c r="G190" i="1" s="1"/>
  <c r="E190" i="1"/>
  <c r="D190" i="1"/>
  <c r="C190" i="1"/>
  <c r="B190" i="1"/>
  <c r="A190" i="1"/>
  <c r="D189" i="1"/>
  <c r="C189" i="1"/>
  <c r="B189" i="1"/>
  <c r="A189" i="1"/>
  <c r="F188" i="1"/>
  <c r="E188" i="1"/>
  <c r="D188" i="1"/>
  <c r="C188" i="1"/>
  <c r="B188" i="1"/>
  <c r="A188" i="1"/>
  <c r="F187" i="1"/>
  <c r="G187" i="1" s="1"/>
  <c r="E187" i="1"/>
  <c r="D187" i="1"/>
  <c r="C187" i="1"/>
  <c r="B187" i="1"/>
  <c r="A187" i="1"/>
  <c r="D186" i="1"/>
  <c r="C186" i="1"/>
  <c r="B186" i="1"/>
  <c r="A186" i="1"/>
  <c r="Q185" i="1"/>
  <c r="N185" i="1"/>
  <c r="O185" i="1" s="1"/>
  <c r="M185" i="1"/>
  <c r="K185" i="1"/>
  <c r="E185" i="1"/>
  <c r="D185" i="1"/>
  <c r="C185" i="1"/>
  <c r="B185" i="1"/>
  <c r="A185" i="1"/>
  <c r="Q184" i="1"/>
  <c r="N184" i="1"/>
  <c r="K184" i="1" s="1"/>
  <c r="M184" i="1"/>
  <c r="I184" i="1"/>
  <c r="F184" i="1"/>
  <c r="G184" i="1" s="1"/>
  <c r="D184" i="1"/>
  <c r="C184" i="1"/>
  <c r="E184" i="1" s="1"/>
  <c r="B184" i="1"/>
  <c r="A184" i="1"/>
  <c r="Q183" i="1"/>
  <c r="O183" i="1"/>
  <c r="N183" i="1"/>
  <c r="M183" i="1"/>
  <c r="K183" i="1"/>
  <c r="F183" i="1"/>
  <c r="G183" i="1" s="1"/>
  <c r="E183" i="1"/>
  <c r="D183" i="1"/>
  <c r="C183" i="1"/>
  <c r="B183" i="1"/>
  <c r="A183" i="1"/>
  <c r="Q182" i="1"/>
  <c r="O182" i="1"/>
  <c r="N182" i="1"/>
  <c r="M182" i="1"/>
  <c r="K182" i="1"/>
  <c r="G182" i="1"/>
  <c r="F182" i="1"/>
  <c r="D182" i="1"/>
  <c r="E182" i="1" s="1"/>
  <c r="C182" i="1"/>
  <c r="B182" i="1"/>
  <c r="A182" i="1"/>
  <c r="D181" i="1"/>
  <c r="C181" i="1"/>
  <c r="B181" i="1"/>
  <c r="A181" i="1"/>
  <c r="D180" i="1"/>
  <c r="C180" i="1"/>
  <c r="B180" i="1"/>
  <c r="A180" i="1"/>
  <c r="Q179" i="1"/>
  <c r="N179" i="1"/>
  <c r="K179" i="1" s="1"/>
  <c r="M179" i="1"/>
  <c r="F179" i="1"/>
  <c r="G179" i="1" s="1"/>
  <c r="C179" i="1"/>
  <c r="E179" i="1" s="1"/>
  <c r="B179" i="1"/>
  <c r="A179" i="1"/>
  <c r="F178" i="1"/>
  <c r="D178" i="1"/>
  <c r="C178" i="1"/>
  <c r="B178" i="1"/>
  <c r="A178" i="1"/>
  <c r="D177" i="1"/>
  <c r="C177" i="1"/>
  <c r="B177" i="1"/>
  <c r="A177" i="1"/>
  <c r="G176" i="1"/>
  <c r="F176" i="1"/>
  <c r="D176" i="1"/>
  <c r="C176" i="1"/>
  <c r="E176" i="1" s="1"/>
  <c r="B176" i="1"/>
  <c r="A176" i="1"/>
  <c r="F175" i="1"/>
  <c r="D175" i="1"/>
  <c r="C175" i="1"/>
  <c r="B175" i="1"/>
  <c r="A175" i="1"/>
  <c r="D174" i="1"/>
  <c r="C174" i="1"/>
  <c r="B174" i="1"/>
  <c r="A174" i="1"/>
  <c r="F173" i="1"/>
  <c r="G173" i="1" s="1"/>
  <c r="D173" i="1"/>
  <c r="E173" i="1" s="1"/>
  <c r="C173" i="1"/>
  <c r="B173" i="1"/>
  <c r="A173" i="1"/>
  <c r="D172" i="1"/>
  <c r="C172" i="1"/>
  <c r="E172" i="1" s="1"/>
  <c r="B172" i="1"/>
  <c r="A172" i="1"/>
  <c r="D171" i="1"/>
  <c r="F171" i="1" s="1"/>
  <c r="G171" i="1" s="1"/>
  <c r="C171" i="1"/>
  <c r="E171" i="1" s="1"/>
  <c r="B171" i="1"/>
  <c r="A171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F168" i="1"/>
  <c r="E168" i="1"/>
  <c r="D168" i="1"/>
  <c r="C168" i="1"/>
  <c r="B168" i="1"/>
  <c r="A168" i="1"/>
  <c r="D167" i="1"/>
  <c r="C167" i="1"/>
  <c r="B167" i="1"/>
  <c r="A167" i="1"/>
  <c r="Q166" i="1"/>
  <c r="N166" i="1"/>
  <c r="O166" i="1" s="1"/>
  <c r="M166" i="1"/>
  <c r="K166" i="1"/>
  <c r="G166" i="1"/>
  <c r="F166" i="1"/>
  <c r="E166" i="1"/>
  <c r="D166" i="1"/>
  <c r="C166" i="1"/>
  <c r="B166" i="1"/>
  <c r="A166" i="1"/>
  <c r="D165" i="1"/>
  <c r="C165" i="1"/>
  <c r="B165" i="1"/>
  <c r="A165" i="1"/>
  <c r="F164" i="1"/>
  <c r="G164" i="1" s="1"/>
  <c r="D164" i="1"/>
  <c r="E164" i="1" s="1"/>
  <c r="C164" i="1"/>
  <c r="B164" i="1"/>
  <c r="A164" i="1"/>
  <c r="D163" i="1"/>
  <c r="C163" i="1"/>
  <c r="B163" i="1"/>
  <c r="A163" i="1"/>
  <c r="D162" i="1"/>
  <c r="C162" i="1"/>
  <c r="B162" i="1"/>
  <c r="A162" i="1"/>
  <c r="D161" i="1"/>
  <c r="C161" i="1"/>
  <c r="B161" i="1"/>
  <c r="A161" i="1"/>
  <c r="G160" i="1"/>
  <c r="F160" i="1"/>
  <c r="D160" i="1"/>
  <c r="E160" i="1" s="1"/>
  <c r="C160" i="1"/>
  <c r="B160" i="1"/>
  <c r="A160" i="1"/>
  <c r="N159" i="1"/>
  <c r="O159" i="1" s="1"/>
  <c r="M159" i="1"/>
  <c r="K159" i="1"/>
  <c r="D159" i="1"/>
  <c r="C159" i="1"/>
  <c r="Q159" i="1" s="1"/>
  <c r="B159" i="1"/>
  <c r="A159" i="1"/>
  <c r="D158" i="1"/>
  <c r="C158" i="1"/>
  <c r="B158" i="1"/>
  <c r="A158" i="1"/>
  <c r="F157" i="1"/>
  <c r="G157" i="1" s="1"/>
  <c r="D157" i="1"/>
  <c r="C157" i="1"/>
  <c r="E157" i="1" s="1"/>
  <c r="B157" i="1"/>
  <c r="A157" i="1"/>
  <c r="F156" i="1"/>
  <c r="D156" i="1"/>
  <c r="C156" i="1"/>
  <c r="B156" i="1"/>
  <c r="A156" i="1"/>
  <c r="D155" i="1"/>
  <c r="C155" i="1"/>
  <c r="B155" i="1"/>
  <c r="A155" i="1"/>
  <c r="D154" i="1"/>
  <c r="C154" i="1"/>
  <c r="B154" i="1"/>
  <c r="A154" i="1"/>
  <c r="N153" i="1"/>
  <c r="O153" i="1" s="1"/>
  <c r="M153" i="1"/>
  <c r="G153" i="1"/>
  <c r="F153" i="1"/>
  <c r="E153" i="1"/>
  <c r="C153" i="1"/>
  <c r="Q153" i="1" s="1"/>
  <c r="B153" i="1"/>
  <c r="A153" i="1"/>
  <c r="F152" i="1"/>
  <c r="G152" i="1" s="1"/>
  <c r="E152" i="1"/>
  <c r="D152" i="1"/>
  <c r="C152" i="1"/>
  <c r="B152" i="1"/>
  <c r="A152" i="1"/>
  <c r="D151" i="1"/>
  <c r="F151" i="1" s="1"/>
  <c r="G151" i="1" s="1"/>
  <c r="C151" i="1"/>
  <c r="B151" i="1"/>
  <c r="A151" i="1"/>
  <c r="D150" i="1"/>
  <c r="C150" i="1"/>
  <c r="B150" i="1"/>
  <c r="A150" i="1"/>
  <c r="D149" i="1"/>
  <c r="C149" i="1"/>
  <c r="B149" i="1"/>
  <c r="A149" i="1"/>
  <c r="Q148" i="1"/>
  <c r="R148" i="1" s="1"/>
  <c r="P148" i="1"/>
  <c r="J148" i="1"/>
  <c r="I148" i="1"/>
  <c r="H148" i="1"/>
  <c r="F148" i="1"/>
  <c r="G148" i="1" s="1"/>
  <c r="L148" i="1" s="1"/>
  <c r="E148" i="1"/>
  <c r="D148" i="1"/>
  <c r="C148" i="1"/>
  <c r="B148" i="1"/>
  <c r="A148" i="1"/>
  <c r="F147" i="1"/>
  <c r="G147" i="1" s="1"/>
  <c r="D147" i="1"/>
  <c r="E147" i="1" s="1"/>
  <c r="C147" i="1"/>
  <c r="B147" i="1"/>
  <c r="A147" i="1"/>
  <c r="D146" i="1"/>
  <c r="C146" i="1"/>
  <c r="B146" i="1"/>
  <c r="A146" i="1"/>
  <c r="G145" i="1"/>
  <c r="D145" i="1"/>
  <c r="F145" i="1" s="1"/>
  <c r="C145" i="1"/>
  <c r="B145" i="1"/>
  <c r="A145" i="1"/>
  <c r="F144" i="1"/>
  <c r="G144" i="1" s="1"/>
  <c r="E144" i="1"/>
  <c r="D144" i="1"/>
  <c r="C144" i="1"/>
  <c r="B144" i="1"/>
  <c r="A144" i="1"/>
  <c r="N143" i="1"/>
  <c r="O143" i="1" s="1"/>
  <c r="M143" i="1"/>
  <c r="K143" i="1"/>
  <c r="D143" i="1"/>
  <c r="C143" i="1"/>
  <c r="Q143" i="1" s="1"/>
  <c r="B143" i="1"/>
  <c r="A143" i="1"/>
  <c r="N142" i="1"/>
  <c r="K142" i="1" s="1"/>
  <c r="M142" i="1"/>
  <c r="F142" i="1"/>
  <c r="G142" i="1" s="1"/>
  <c r="D142" i="1"/>
  <c r="C142" i="1"/>
  <c r="Q142" i="1" s="1"/>
  <c r="B142" i="1"/>
  <c r="A142" i="1"/>
  <c r="Q141" i="1"/>
  <c r="N141" i="1"/>
  <c r="O141" i="1" s="1"/>
  <c r="M141" i="1"/>
  <c r="K141" i="1"/>
  <c r="D141" i="1"/>
  <c r="C141" i="1"/>
  <c r="B141" i="1"/>
  <c r="A141" i="1"/>
  <c r="Q140" i="1"/>
  <c r="N140" i="1"/>
  <c r="K140" i="1" s="1"/>
  <c r="M140" i="1"/>
  <c r="G140" i="1"/>
  <c r="F140" i="1"/>
  <c r="D140" i="1"/>
  <c r="E140" i="1" s="1"/>
  <c r="C140" i="1"/>
  <c r="B140" i="1"/>
  <c r="A140" i="1"/>
  <c r="G139" i="1"/>
  <c r="F139" i="1"/>
  <c r="D139" i="1"/>
  <c r="E139" i="1" s="1"/>
  <c r="C139" i="1"/>
  <c r="B139" i="1"/>
  <c r="A139" i="1"/>
  <c r="M138" i="1"/>
  <c r="L138" i="1"/>
  <c r="Q138" i="1" s="1"/>
  <c r="I138" i="1"/>
  <c r="H138" i="1"/>
  <c r="G138" i="1"/>
  <c r="F138" i="1"/>
  <c r="D138" i="1"/>
  <c r="C138" i="1"/>
  <c r="E138" i="1" s="1"/>
  <c r="B138" i="1"/>
  <c r="A138" i="1"/>
  <c r="D137" i="1"/>
  <c r="F137" i="1" s="1"/>
  <c r="C137" i="1"/>
  <c r="B137" i="1"/>
  <c r="A137" i="1"/>
  <c r="N136" i="1"/>
  <c r="M136" i="1"/>
  <c r="D136" i="1"/>
  <c r="C136" i="1"/>
  <c r="Q136" i="1" s="1"/>
  <c r="B136" i="1"/>
  <c r="A136" i="1"/>
  <c r="E135" i="1"/>
  <c r="D135" i="1"/>
  <c r="C135" i="1"/>
  <c r="B135" i="1"/>
  <c r="A135" i="1"/>
  <c r="O134" i="1"/>
  <c r="N134" i="1"/>
  <c r="K134" i="1" s="1"/>
  <c r="M134" i="1"/>
  <c r="D134" i="1"/>
  <c r="C134" i="1"/>
  <c r="Q134" i="1" s="1"/>
  <c r="B134" i="1"/>
  <c r="A134" i="1"/>
  <c r="F133" i="1"/>
  <c r="D133" i="1"/>
  <c r="C133" i="1"/>
  <c r="E133" i="1" s="1"/>
  <c r="B133" i="1"/>
  <c r="A133" i="1"/>
  <c r="Q132" i="1"/>
  <c r="P132" i="1"/>
  <c r="O132" i="1"/>
  <c r="N132" i="1"/>
  <c r="M132" i="1"/>
  <c r="K132" i="1"/>
  <c r="I132" i="1"/>
  <c r="D132" i="1"/>
  <c r="F132" i="1" s="1"/>
  <c r="G132" i="1" s="1"/>
  <c r="C132" i="1"/>
  <c r="E132" i="1" s="1"/>
  <c r="B132" i="1"/>
  <c r="A132" i="1"/>
  <c r="Q131" i="1"/>
  <c r="N131" i="1"/>
  <c r="K131" i="1" s="1"/>
  <c r="M131" i="1"/>
  <c r="F131" i="1"/>
  <c r="G131" i="1" s="1"/>
  <c r="E131" i="1"/>
  <c r="D131" i="1"/>
  <c r="C131" i="1"/>
  <c r="B131" i="1"/>
  <c r="A131" i="1"/>
  <c r="O130" i="1"/>
  <c r="N130" i="1"/>
  <c r="M130" i="1"/>
  <c r="K130" i="1"/>
  <c r="E130" i="1"/>
  <c r="D130" i="1"/>
  <c r="C130" i="1"/>
  <c r="Q130" i="1" s="1"/>
  <c r="B130" i="1"/>
  <c r="A130" i="1"/>
  <c r="N129" i="1"/>
  <c r="O129" i="1" s="1"/>
  <c r="M129" i="1"/>
  <c r="K129" i="1"/>
  <c r="D129" i="1"/>
  <c r="C129" i="1"/>
  <c r="Q129" i="1" s="1"/>
  <c r="B129" i="1"/>
  <c r="A129" i="1"/>
  <c r="Q128" i="1"/>
  <c r="N128" i="1"/>
  <c r="O128" i="1" s="1"/>
  <c r="M128" i="1"/>
  <c r="K128" i="1"/>
  <c r="D128" i="1"/>
  <c r="C128" i="1"/>
  <c r="B128" i="1"/>
  <c r="A128" i="1"/>
  <c r="Q127" i="1"/>
  <c r="N127" i="1"/>
  <c r="M127" i="1"/>
  <c r="F127" i="1"/>
  <c r="G127" i="1" s="1"/>
  <c r="E127" i="1"/>
  <c r="D127" i="1"/>
  <c r="C127" i="1"/>
  <c r="B127" i="1"/>
  <c r="A127" i="1"/>
  <c r="Q126" i="1"/>
  <c r="N126" i="1"/>
  <c r="O126" i="1" s="1"/>
  <c r="M126" i="1"/>
  <c r="K126" i="1"/>
  <c r="D126" i="1"/>
  <c r="C126" i="1"/>
  <c r="B126" i="1"/>
  <c r="A126" i="1"/>
  <c r="Q125" i="1"/>
  <c r="N125" i="1"/>
  <c r="O125" i="1" s="1"/>
  <c r="M125" i="1"/>
  <c r="K125" i="1"/>
  <c r="F125" i="1"/>
  <c r="G125" i="1" s="1"/>
  <c r="D125" i="1"/>
  <c r="E125" i="1" s="1"/>
  <c r="C125" i="1"/>
  <c r="B125" i="1"/>
  <c r="A125" i="1"/>
  <c r="N124" i="1"/>
  <c r="M124" i="1"/>
  <c r="H124" i="1"/>
  <c r="F124" i="1"/>
  <c r="G124" i="1" s="1"/>
  <c r="E124" i="1"/>
  <c r="D124" i="1"/>
  <c r="C124" i="1"/>
  <c r="Q124" i="1" s="1"/>
  <c r="B124" i="1"/>
  <c r="A124" i="1"/>
  <c r="N123" i="1"/>
  <c r="O123" i="1" s="1"/>
  <c r="M123" i="1"/>
  <c r="K123" i="1"/>
  <c r="D123" i="1"/>
  <c r="C123" i="1"/>
  <c r="Q123" i="1" s="1"/>
  <c r="B123" i="1"/>
  <c r="A123" i="1"/>
  <c r="N122" i="1"/>
  <c r="O122" i="1" s="1"/>
  <c r="M122" i="1"/>
  <c r="K122" i="1"/>
  <c r="D122" i="1"/>
  <c r="F122" i="1" s="1"/>
  <c r="G122" i="1" s="1"/>
  <c r="C122" i="1"/>
  <c r="Q122" i="1" s="1"/>
  <c r="B122" i="1"/>
  <c r="A122" i="1"/>
  <c r="O121" i="1"/>
  <c r="N121" i="1"/>
  <c r="K121" i="1" s="1"/>
  <c r="M121" i="1"/>
  <c r="D121" i="1"/>
  <c r="C121" i="1"/>
  <c r="Q121" i="1" s="1"/>
  <c r="B121" i="1"/>
  <c r="A121" i="1"/>
  <c r="Q120" i="1"/>
  <c r="N120" i="1"/>
  <c r="O120" i="1" s="1"/>
  <c r="M120" i="1"/>
  <c r="K120" i="1"/>
  <c r="D120" i="1"/>
  <c r="F120" i="1" s="1"/>
  <c r="C120" i="1"/>
  <c r="B120" i="1"/>
  <c r="A120" i="1"/>
  <c r="N119" i="1"/>
  <c r="O119" i="1" s="1"/>
  <c r="M119" i="1"/>
  <c r="K119" i="1"/>
  <c r="F119" i="1"/>
  <c r="G119" i="1" s="1"/>
  <c r="D119" i="1"/>
  <c r="E119" i="1" s="1"/>
  <c r="C119" i="1"/>
  <c r="Q119" i="1" s="1"/>
  <c r="B119" i="1"/>
  <c r="A119" i="1"/>
  <c r="N118" i="1"/>
  <c r="O118" i="1" s="1"/>
  <c r="M118" i="1"/>
  <c r="K118" i="1"/>
  <c r="H118" i="1"/>
  <c r="G118" i="1"/>
  <c r="D118" i="1"/>
  <c r="F118" i="1" s="1"/>
  <c r="C118" i="1"/>
  <c r="Q118" i="1" s="1"/>
  <c r="B118" i="1"/>
  <c r="A118" i="1"/>
  <c r="Q117" i="1"/>
  <c r="N117" i="1"/>
  <c r="K117" i="1" s="1"/>
  <c r="M117" i="1"/>
  <c r="G117" i="1"/>
  <c r="F117" i="1"/>
  <c r="D117" i="1"/>
  <c r="E117" i="1" s="1"/>
  <c r="C117" i="1"/>
  <c r="B117" i="1"/>
  <c r="A117" i="1"/>
  <c r="Q116" i="1"/>
  <c r="O116" i="1"/>
  <c r="N116" i="1"/>
  <c r="M116" i="1"/>
  <c r="K116" i="1"/>
  <c r="D116" i="1"/>
  <c r="C116" i="1"/>
  <c r="B116" i="1"/>
  <c r="A116" i="1"/>
  <c r="N115" i="1"/>
  <c r="O115" i="1" s="1"/>
  <c r="M115" i="1"/>
  <c r="K115" i="1"/>
  <c r="D115" i="1"/>
  <c r="C115" i="1"/>
  <c r="Q115" i="1" s="1"/>
  <c r="B115" i="1"/>
  <c r="A115" i="1"/>
  <c r="N114" i="1"/>
  <c r="O114" i="1" s="1"/>
  <c r="M114" i="1"/>
  <c r="K114" i="1"/>
  <c r="F114" i="1"/>
  <c r="D114" i="1"/>
  <c r="C114" i="1"/>
  <c r="Q114" i="1" s="1"/>
  <c r="B114" i="1"/>
  <c r="A114" i="1"/>
  <c r="Q113" i="1"/>
  <c r="P113" i="1"/>
  <c r="R113" i="1" s="1"/>
  <c r="O113" i="1"/>
  <c r="N113" i="1"/>
  <c r="K113" i="1" s="1"/>
  <c r="M113" i="1"/>
  <c r="G113" i="1"/>
  <c r="F113" i="1"/>
  <c r="E113" i="1"/>
  <c r="D113" i="1"/>
  <c r="C113" i="1"/>
  <c r="B113" i="1"/>
  <c r="A113" i="1"/>
  <c r="Q112" i="1"/>
  <c r="N112" i="1"/>
  <c r="O112" i="1" s="1"/>
  <c r="M112" i="1"/>
  <c r="K112" i="1"/>
  <c r="E112" i="1"/>
  <c r="D112" i="1"/>
  <c r="C112" i="1"/>
  <c r="B112" i="1"/>
  <c r="A112" i="1"/>
  <c r="Q111" i="1"/>
  <c r="N111" i="1"/>
  <c r="O111" i="1" s="1"/>
  <c r="M111" i="1"/>
  <c r="K111" i="1"/>
  <c r="I111" i="1"/>
  <c r="G111" i="1"/>
  <c r="P111" i="1" s="1"/>
  <c r="F111" i="1"/>
  <c r="D111" i="1"/>
  <c r="E111" i="1" s="1"/>
  <c r="C111" i="1"/>
  <c r="B111" i="1"/>
  <c r="A111" i="1"/>
  <c r="N110" i="1"/>
  <c r="O110" i="1" s="1"/>
  <c r="M110" i="1"/>
  <c r="K110" i="1"/>
  <c r="G110" i="1"/>
  <c r="F110" i="1"/>
  <c r="D110" i="1"/>
  <c r="E110" i="1" s="1"/>
  <c r="C110" i="1"/>
  <c r="Q110" i="1" s="1"/>
  <c r="B110" i="1"/>
  <c r="A110" i="1"/>
  <c r="O109" i="1"/>
  <c r="N109" i="1"/>
  <c r="K109" i="1" s="1"/>
  <c r="M109" i="1"/>
  <c r="D109" i="1"/>
  <c r="C109" i="1"/>
  <c r="Q109" i="1" s="1"/>
  <c r="B109" i="1"/>
  <c r="A109" i="1"/>
  <c r="N108" i="1"/>
  <c r="M108" i="1"/>
  <c r="H108" i="1"/>
  <c r="G108" i="1"/>
  <c r="F108" i="1"/>
  <c r="D108" i="1"/>
  <c r="C108" i="1"/>
  <c r="Q108" i="1" s="1"/>
  <c r="B108" i="1"/>
  <c r="A108" i="1"/>
  <c r="O107" i="1"/>
  <c r="N107" i="1"/>
  <c r="M107" i="1"/>
  <c r="K107" i="1"/>
  <c r="I107" i="1"/>
  <c r="H107" i="1"/>
  <c r="G107" i="1"/>
  <c r="P107" i="1" s="1"/>
  <c r="R107" i="1" s="1"/>
  <c r="E107" i="1"/>
  <c r="D107" i="1"/>
  <c r="F107" i="1" s="1"/>
  <c r="C107" i="1"/>
  <c r="Q107" i="1" s="1"/>
  <c r="B107" i="1"/>
  <c r="A107" i="1"/>
  <c r="Q106" i="1"/>
  <c r="O106" i="1"/>
  <c r="N106" i="1"/>
  <c r="K106" i="1" s="1"/>
  <c r="M106" i="1"/>
  <c r="F106" i="1"/>
  <c r="D106" i="1"/>
  <c r="G106" i="1" s="1"/>
  <c r="C106" i="1"/>
  <c r="B106" i="1"/>
  <c r="A106" i="1"/>
  <c r="Q105" i="1"/>
  <c r="O105" i="1"/>
  <c r="N105" i="1"/>
  <c r="K105" i="1" s="1"/>
  <c r="M105" i="1"/>
  <c r="D105" i="1"/>
  <c r="C105" i="1"/>
  <c r="B105" i="1"/>
  <c r="A105" i="1"/>
  <c r="Q104" i="1"/>
  <c r="N104" i="1"/>
  <c r="O104" i="1" s="1"/>
  <c r="M104" i="1"/>
  <c r="K104" i="1"/>
  <c r="J104" i="1"/>
  <c r="G104" i="1"/>
  <c r="P104" i="1" s="1"/>
  <c r="F104" i="1"/>
  <c r="E104" i="1"/>
  <c r="D104" i="1"/>
  <c r="C104" i="1"/>
  <c r="B104" i="1"/>
  <c r="A104" i="1"/>
  <c r="N103" i="1"/>
  <c r="O103" i="1" s="1"/>
  <c r="M103" i="1"/>
  <c r="F103" i="1"/>
  <c r="D103" i="1"/>
  <c r="G103" i="1" s="1"/>
  <c r="C103" i="1"/>
  <c r="Q103" i="1" s="1"/>
  <c r="B103" i="1"/>
  <c r="A103" i="1"/>
  <c r="O102" i="1"/>
  <c r="N102" i="1"/>
  <c r="K102" i="1" s="1"/>
  <c r="M102" i="1"/>
  <c r="D102" i="1"/>
  <c r="C102" i="1"/>
  <c r="Q102" i="1" s="1"/>
  <c r="B102" i="1"/>
  <c r="A102" i="1"/>
  <c r="Q101" i="1"/>
  <c r="N101" i="1"/>
  <c r="O101" i="1" s="1"/>
  <c r="M101" i="1"/>
  <c r="K101" i="1"/>
  <c r="F101" i="1"/>
  <c r="D101" i="1"/>
  <c r="G101" i="1" s="1"/>
  <c r="C101" i="1"/>
  <c r="B101" i="1"/>
  <c r="A101" i="1"/>
  <c r="Q100" i="1"/>
  <c r="O100" i="1"/>
  <c r="N100" i="1"/>
  <c r="K100" i="1" s="1"/>
  <c r="M100" i="1"/>
  <c r="F100" i="1"/>
  <c r="G100" i="1" s="1"/>
  <c r="D100" i="1"/>
  <c r="E100" i="1" s="1"/>
  <c r="C100" i="1"/>
  <c r="B100" i="1"/>
  <c r="A100" i="1"/>
  <c r="N99" i="1"/>
  <c r="O99" i="1" s="1"/>
  <c r="M99" i="1"/>
  <c r="K99" i="1"/>
  <c r="D99" i="1"/>
  <c r="C99" i="1"/>
  <c r="Q99" i="1" s="1"/>
  <c r="B99" i="1"/>
  <c r="A99" i="1"/>
  <c r="Q98" i="1"/>
  <c r="N98" i="1"/>
  <c r="O98" i="1" s="1"/>
  <c r="M98" i="1"/>
  <c r="K98" i="1"/>
  <c r="J98" i="1"/>
  <c r="I98" i="1"/>
  <c r="D98" i="1"/>
  <c r="F98" i="1" s="1"/>
  <c r="G98" i="1" s="1"/>
  <c r="C98" i="1"/>
  <c r="B98" i="1"/>
  <c r="A98" i="1"/>
  <c r="Q97" i="1"/>
  <c r="O97" i="1"/>
  <c r="N97" i="1"/>
  <c r="M97" i="1"/>
  <c r="K97" i="1"/>
  <c r="D97" i="1"/>
  <c r="C97" i="1"/>
  <c r="B97" i="1"/>
  <c r="A97" i="1"/>
  <c r="Q96" i="1"/>
  <c r="O96" i="1"/>
  <c r="N96" i="1"/>
  <c r="M96" i="1"/>
  <c r="K96" i="1"/>
  <c r="D96" i="1"/>
  <c r="C96" i="1"/>
  <c r="B96" i="1"/>
  <c r="A96" i="1"/>
  <c r="N95" i="1"/>
  <c r="O95" i="1" s="1"/>
  <c r="M95" i="1"/>
  <c r="K95" i="1"/>
  <c r="D95" i="1"/>
  <c r="C95" i="1"/>
  <c r="Q95" i="1" s="1"/>
  <c r="B95" i="1"/>
  <c r="A95" i="1"/>
  <c r="N94" i="1"/>
  <c r="O94" i="1" s="1"/>
  <c r="M94" i="1"/>
  <c r="K94" i="1"/>
  <c r="D94" i="1"/>
  <c r="C94" i="1"/>
  <c r="Q94" i="1" s="1"/>
  <c r="B94" i="1"/>
  <c r="A94" i="1"/>
  <c r="N93" i="1"/>
  <c r="K93" i="1" s="1"/>
  <c r="M93" i="1"/>
  <c r="F93" i="1"/>
  <c r="G93" i="1" s="1"/>
  <c r="D93" i="1"/>
  <c r="C93" i="1"/>
  <c r="Q93" i="1" s="1"/>
  <c r="B93" i="1"/>
  <c r="A93" i="1"/>
  <c r="Q92" i="1"/>
  <c r="O92" i="1"/>
  <c r="N92" i="1"/>
  <c r="M92" i="1"/>
  <c r="K92" i="1"/>
  <c r="D92" i="1"/>
  <c r="C92" i="1"/>
  <c r="B92" i="1"/>
  <c r="A92" i="1"/>
  <c r="Q91" i="1"/>
  <c r="O91" i="1"/>
  <c r="N91" i="1"/>
  <c r="M91" i="1"/>
  <c r="K91" i="1"/>
  <c r="G91" i="1"/>
  <c r="F91" i="1"/>
  <c r="D91" i="1"/>
  <c r="E91" i="1" s="1"/>
  <c r="C91" i="1"/>
  <c r="B91" i="1"/>
  <c r="A91" i="1"/>
  <c r="O90" i="1"/>
  <c r="N90" i="1"/>
  <c r="M90" i="1"/>
  <c r="K90" i="1"/>
  <c r="F90" i="1"/>
  <c r="E90" i="1"/>
  <c r="D90" i="1"/>
  <c r="C90" i="1"/>
  <c r="Q90" i="1" s="1"/>
  <c r="B90" i="1"/>
  <c r="A90" i="1"/>
  <c r="Q89" i="1"/>
  <c r="O89" i="1"/>
  <c r="N89" i="1"/>
  <c r="K89" i="1" s="1"/>
  <c r="M89" i="1"/>
  <c r="F89" i="1"/>
  <c r="G89" i="1" s="1"/>
  <c r="E89" i="1"/>
  <c r="D89" i="1"/>
  <c r="C89" i="1"/>
  <c r="B89" i="1"/>
  <c r="A89" i="1"/>
  <c r="N88" i="1"/>
  <c r="M88" i="1"/>
  <c r="F88" i="1"/>
  <c r="G88" i="1" s="1"/>
  <c r="E88" i="1"/>
  <c r="D88" i="1"/>
  <c r="C88" i="1"/>
  <c r="Q88" i="1" s="1"/>
  <c r="B88" i="1"/>
  <c r="A88" i="1"/>
  <c r="Q87" i="1"/>
  <c r="O87" i="1"/>
  <c r="N87" i="1"/>
  <c r="M87" i="1"/>
  <c r="K87" i="1"/>
  <c r="D87" i="1"/>
  <c r="F87" i="1" s="1"/>
  <c r="C87" i="1"/>
  <c r="B87" i="1"/>
  <c r="A87" i="1"/>
  <c r="Q86" i="1"/>
  <c r="N86" i="1"/>
  <c r="O86" i="1" s="1"/>
  <c r="M86" i="1"/>
  <c r="D86" i="1"/>
  <c r="C86" i="1"/>
  <c r="B86" i="1"/>
  <c r="A86" i="1"/>
  <c r="O85" i="1"/>
  <c r="N85" i="1"/>
  <c r="K85" i="1" s="1"/>
  <c r="M85" i="1"/>
  <c r="D85" i="1"/>
  <c r="C85" i="1"/>
  <c r="Q85" i="1" s="1"/>
  <c r="B85" i="1"/>
  <c r="A85" i="1"/>
  <c r="Q84" i="1"/>
  <c r="O84" i="1"/>
  <c r="N84" i="1"/>
  <c r="M84" i="1"/>
  <c r="K84" i="1"/>
  <c r="F84" i="1"/>
  <c r="G84" i="1" s="1"/>
  <c r="E84" i="1"/>
  <c r="D84" i="1"/>
  <c r="C84" i="1"/>
  <c r="B84" i="1"/>
  <c r="A84" i="1"/>
  <c r="Q83" i="1"/>
  <c r="N83" i="1"/>
  <c r="O83" i="1" s="1"/>
  <c r="M83" i="1"/>
  <c r="K83" i="1"/>
  <c r="F83" i="1"/>
  <c r="G83" i="1" s="1"/>
  <c r="E83" i="1"/>
  <c r="D83" i="1"/>
  <c r="C83" i="1"/>
  <c r="B83" i="1"/>
  <c r="A83" i="1"/>
  <c r="O82" i="1"/>
  <c r="N82" i="1"/>
  <c r="K82" i="1" s="1"/>
  <c r="M82" i="1"/>
  <c r="D82" i="1"/>
  <c r="C82" i="1"/>
  <c r="Q82" i="1" s="1"/>
  <c r="B82" i="1"/>
  <c r="A82" i="1"/>
  <c r="Q81" i="1"/>
  <c r="N81" i="1"/>
  <c r="O81" i="1" s="1"/>
  <c r="M81" i="1"/>
  <c r="K81" i="1"/>
  <c r="E81" i="1"/>
  <c r="D81" i="1"/>
  <c r="C81" i="1"/>
  <c r="B81" i="1"/>
  <c r="A81" i="1"/>
  <c r="N80" i="1"/>
  <c r="M80" i="1"/>
  <c r="D80" i="1"/>
  <c r="C80" i="1"/>
  <c r="Q80" i="1" s="1"/>
  <c r="B80" i="1"/>
  <c r="A80" i="1"/>
  <c r="Q79" i="1"/>
  <c r="N79" i="1"/>
  <c r="K79" i="1" s="1"/>
  <c r="M79" i="1"/>
  <c r="D79" i="1"/>
  <c r="C79" i="1"/>
  <c r="B79" i="1"/>
  <c r="A79" i="1"/>
  <c r="Q78" i="1"/>
  <c r="R78" i="1" s="1"/>
  <c r="O78" i="1"/>
  <c r="N78" i="1"/>
  <c r="K78" i="1" s="1"/>
  <c r="M78" i="1"/>
  <c r="G78" i="1"/>
  <c r="P78" i="1" s="1"/>
  <c r="D78" i="1"/>
  <c r="F78" i="1" s="1"/>
  <c r="C78" i="1"/>
  <c r="B78" i="1"/>
  <c r="A78" i="1"/>
  <c r="Q77" i="1"/>
  <c r="N77" i="1"/>
  <c r="O77" i="1" s="1"/>
  <c r="M77" i="1"/>
  <c r="D77" i="1"/>
  <c r="C77" i="1"/>
  <c r="B77" i="1"/>
  <c r="A77" i="1"/>
  <c r="Q76" i="1"/>
  <c r="N76" i="1"/>
  <c r="K76" i="1" s="1"/>
  <c r="M76" i="1"/>
  <c r="F76" i="1"/>
  <c r="G76" i="1" s="1"/>
  <c r="E76" i="1"/>
  <c r="D76" i="1"/>
  <c r="C76" i="1"/>
  <c r="B76" i="1"/>
  <c r="A76" i="1"/>
  <c r="O75" i="1"/>
  <c r="N75" i="1"/>
  <c r="K75" i="1" s="1"/>
  <c r="M75" i="1"/>
  <c r="G75" i="1"/>
  <c r="P75" i="1" s="1"/>
  <c r="F75" i="1"/>
  <c r="E75" i="1"/>
  <c r="D75" i="1"/>
  <c r="C75" i="1"/>
  <c r="Q75" i="1" s="1"/>
  <c r="B75" i="1"/>
  <c r="A75" i="1"/>
  <c r="N74" i="1"/>
  <c r="O74" i="1" s="1"/>
  <c r="M74" i="1"/>
  <c r="K74" i="1"/>
  <c r="D74" i="1"/>
  <c r="C74" i="1"/>
  <c r="Q74" i="1" s="1"/>
  <c r="B74" i="1"/>
  <c r="A74" i="1"/>
  <c r="O73" i="1"/>
  <c r="N73" i="1"/>
  <c r="K73" i="1" s="1"/>
  <c r="M73" i="1"/>
  <c r="D73" i="1"/>
  <c r="C73" i="1"/>
  <c r="E73" i="1" s="1"/>
  <c r="B73" i="1"/>
  <c r="A73" i="1"/>
  <c r="Q72" i="1"/>
  <c r="N72" i="1"/>
  <c r="O72" i="1" s="1"/>
  <c r="M72" i="1"/>
  <c r="K72" i="1"/>
  <c r="E72" i="1"/>
  <c r="D72" i="1"/>
  <c r="C72" i="1"/>
  <c r="B72" i="1"/>
  <c r="A72" i="1"/>
  <c r="Q71" i="1"/>
  <c r="O71" i="1"/>
  <c r="N71" i="1"/>
  <c r="M71" i="1"/>
  <c r="K71" i="1"/>
  <c r="G71" i="1"/>
  <c r="P71" i="1" s="1"/>
  <c r="F71" i="1"/>
  <c r="D71" i="1"/>
  <c r="E71" i="1" s="1"/>
  <c r="C71" i="1"/>
  <c r="B71" i="1"/>
  <c r="A71" i="1"/>
  <c r="N70" i="1"/>
  <c r="M70" i="1"/>
  <c r="D70" i="1"/>
  <c r="C70" i="1"/>
  <c r="Q70" i="1" s="1"/>
  <c r="B70" i="1"/>
  <c r="A70" i="1"/>
  <c r="Q69" i="1"/>
  <c r="N69" i="1"/>
  <c r="K69" i="1" s="1"/>
  <c r="M69" i="1"/>
  <c r="F69" i="1"/>
  <c r="G69" i="1" s="1"/>
  <c r="D69" i="1"/>
  <c r="E69" i="1" s="1"/>
  <c r="C69" i="1"/>
  <c r="B69" i="1"/>
  <c r="A69" i="1"/>
  <c r="N68" i="1"/>
  <c r="O68" i="1" s="1"/>
  <c r="M68" i="1"/>
  <c r="K68" i="1"/>
  <c r="J68" i="1"/>
  <c r="I68" i="1"/>
  <c r="H68" i="1"/>
  <c r="G68" i="1"/>
  <c r="F68" i="1"/>
  <c r="D68" i="1"/>
  <c r="C68" i="1"/>
  <c r="B68" i="1"/>
  <c r="A68" i="1"/>
  <c r="Q67" i="1"/>
  <c r="O67" i="1"/>
  <c r="N67" i="1"/>
  <c r="M67" i="1"/>
  <c r="K67" i="1"/>
  <c r="G67" i="1"/>
  <c r="F67" i="1"/>
  <c r="E67" i="1"/>
  <c r="D67" i="1"/>
  <c r="C67" i="1"/>
  <c r="B67" i="1"/>
  <c r="A67" i="1"/>
  <c r="Q66" i="1"/>
  <c r="O66" i="1"/>
  <c r="N66" i="1"/>
  <c r="M66" i="1"/>
  <c r="K66" i="1"/>
  <c r="D66" i="1"/>
  <c r="F66" i="1" s="1"/>
  <c r="G66" i="1" s="1"/>
  <c r="C66" i="1"/>
  <c r="B66" i="1"/>
  <c r="A66" i="1"/>
  <c r="Q65" i="1"/>
  <c r="O65" i="1"/>
  <c r="N65" i="1"/>
  <c r="M65" i="1"/>
  <c r="K65" i="1"/>
  <c r="D65" i="1"/>
  <c r="C65" i="1"/>
  <c r="B65" i="1"/>
  <c r="A65" i="1"/>
  <c r="Q64" i="1"/>
  <c r="P64" i="1"/>
  <c r="R64" i="1" s="1"/>
  <c r="O64" i="1"/>
  <c r="N64" i="1"/>
  <c r="M64" i="1"/>
  <c r="K64" i="1"/>
  <c r="J64" i="1"/>
  <c r="I64" i="1"/>
  <c r="H64" i="1"/>
  <c r="G64" i="1"/>
  <c r="F64" i="1"/>
  <c r="E64" i="1"/>
  <c r="D64" i="1"/>
  <c r="C64" i="1"/>
  <c r="B64" i="1"/>
  <c r="A64" i="1"/>
  <c r="Q63" i="1"/>
  <c r="O63" i="1"/>
  <c r="N63" i="1"/>
  <c r="M63" i="1"/>
  <c r="K63" i="1"/>
  <c r="F63" i="1"/>
  <c r="G63" i="1" s="1"/>
  <c r="E63" i="1"/>
  <c r="D63" i="1"/>
  <c r="C63" i="1"/>
  <c r="B63" i="1"/>
  <c r="A63" i="1"/>
  <c r="O62" i="1"/>
  <c r="N62" i="1"/>
  <c r="M62" i="1"/>
  <c r="K62" i="1"/>
  <c r="D62" i="1"/>
  <c r="C62" i="1"/>
  <c r="B62" i="1"/>
  <c r="A62" i="1"/>
  <c r="N61" i="1"/>
  <c r="O61" i="1" s="1"/>
  <c r="M61" i="1"/>
  <c r="K61" i="1"/>
  <c r="G61" i="1"/>
  <c r="F61" i="1"/>
  <c r="E61" i="1"/>
  <c r="D61" i="1"/>
  <c r="C61" i="1"/>
  <c r="Q61" i="1" s="1"/>
  <c r="B61" i="1"/>
  <c r="A61" i="1"/>
  <c r="Q60" i="1"/>
  <c r="O60" i="1"/>
  <c r="N60" i="1"/>
  <c r="K60" i="1" s="1"/>
  <c r="M60" i="1"/>
  <c r="F60" i="1"/>
  <c r="E60" i="1"/>
  <c r="D60" i="1"/>
  <c r="G60" i="1" s="1"/>
  <c r="C60" i="1"/>
  <c r="B60" i="1"/>
  <c r="A60" i="1"/>
  <c r="Q59" i="1"/>
  <c r="O59" i="1"/>
  <c r="N59" i="1"/>
  <c r="K59" i="1" s="1"/>
  <c r="M59" i="1"/>
  <c r="F59" i="1"/>
  <c r="E59" i="1"/>
  <c r="D59" i="1"/>
  <c r="C59" i="1"/>
  <c r="B59" i="1"/>
  <c r="A59" i="1"/>
  <c r="Q58" i="1"/>
  <c r="N58" i="1"/>
  <c r="O58" i="1" s="1"/>
  <c r="M58" i="1"/>
  <c r="K58" i="1"/>
  <c r="G58" i="1"/>
  <c r="P58" i="1" s="1"/>
  <c r="D58" i="1"/>
  <c r="F58" i="1" s="1"/>
  <c r="C58" i="1"/>
  <c r="B58" i="1"/>
  <c r="A58" i="1"/>
  <c r="Q57" i="1"/>
  <c r="N57" i="1"/>
  <c r="O57" i="1" s="1"/>
  <c r="M57" i="1"/>
  <c r="K57" i="1"/>
  <c r="F57" i="1"/>
  <c r="E57" i="1"/>
  <c r="D57" i="1"/>
  <c r="G57" i="1" s="1"/>
  <c r="C57" i="1"/>
  <c r="B57" i="1"/>
  <c r="A57" i="1"/>
  <c r="Q56" i="1"/>
  <c r="O56" i="1"/>
  <c r="N56" i="1"/>
  <c r="K56" i="1" s="1"/>
  <c r="M56" i="1"/>
  <c r="D56" i="1"/>
  <c r="C56" i="1"/>
  <c r="B56" i="1"/>
  <c r="A56" i="1"/>
  <c r="N55" i="1"/>
  <c r="O55" i="1" s="1"/>
  <c r="M55" i="1"/>
  <c r="K55" i="1"/>
  <c r="D55" i="1"/>
  <c r="C55" i="1"/>
  <c r="Q55" i="1" s="1"/>
  <c r="B55" i="1"/>
  <c r="A55" i="1"/>
  <c r="Q54" i="1"/>
  <c r="N54" i="1"/>
  <c r="O54" i="1" s="1"/>
  <c r="M54" i="1"/>
  <c r="K54" i="1"/>
  <c r="F54" i="1"/>
  <c r="G54" i="1" s="1"/>
  <c r="D54" i="1"/>
  <c r="E54" i="1" s="1"/>
  <c r="C54" i="1"/>
  <c r="B54" i="1"/>
  <c r="A54" i="1"/>
  <c r="Q53" i="1"/>
  <c r="O53" i="1"/>
  <c r="N53" i="1"/>
  <c r="K53" i="1" s="1"/>
  <c r="M53" i="1"/>
  <c r="E53" i="1"/>
  <c r="D53" i="1"/>
  <c r="C53" i="1"/>
  <c r="B53" i="1"/>
  <c r="A53" i="1"/>
  <c r="Q52" i="1"/>
  <c r="O52" i="1"/>
  <c r="N52" i="1"/>
  <c r="M52" i="1"/>
  <c r="K52" i="1"/>
  <c r="E52" i="1"/>
  <c r="D52" i="1"/>
  <c r="C52" i="1"/>
  <c r="B52" i="1"/>
  <c r="A52" i="1"/>
  <c r="Q51" i="1"/>
  <c r="P51" i="1"/>
  <c r="O51" i="1"/>
  <c r="N51" i="1"/>
  <c r="K51" i="1" s="1"/>
  <c r="M51" i="1"/>
  <c r="J51" i="1"/>
  <c r="I51" i="1"/>
  <c r="H51" i="1"/>
  <c r="G51" i="1"/>
  <c r="F51" i="1"/>
  <c r="D51" i="1"/>
  <c r="E51" i="1" s="1"/>
  <c r="C51" i="1"/>
  <c r="B51" i="1"/>
  <c r="A51" i="1"/>
  <c r="Q50" i="1"/>
  <c r="N50" i="1"/>
  <c r="O50" i="1" s="1"/>
  <c r="M50" i="1"/>
  <c r="K50" i="1"/>
  <c r="J50" i="1"/>
  <c r="I50" i="1"/>
  <c r="H50" i="1"/>
  <c r="G50" i="1"/>
  <c r="P50" i="1" s="1"/>
  <c r="F50" i="1"/>
  <c r="E50" i="1"/>
  <c r="D50" i="1"/>
  <c r="C50" i="1"/>
  <c r="B50" i="1"/>
  <c r="A50" i="1"/>
  <c r="O49" i="1"/>
  <c r="N49" i="1"/>
  <c r="M49" i="1"/>
  <c r="K49" i="1"/>
  <c r="E49" i="1"/>
  <c r="D49" i="1"/>
  <c r="F49" i="1" s="1"/>
  <c r="G49" i="1" s="1"/>
  <c r="C49" i="1"/>
  <c r="Q49" i="1" s="1"/>
  <c r="B49" i="1"/>
  <c r="A49" i="1"/>
  <c r="N48" i="1"/>
  <c r="O48" i="1" s="1"/>
  <c r="M48" i="1"/>
  <c r="K48" i="1"/>
  <c r="F48" i="1"/>
  <c r="E48" i="1"/>
  <c r="D48" i="1"/>
  <c r="C48" i="1"/>
  <c r="Q48" i="1" s="1"/>
  <c r="B48" i="1"/>
  <c r="A48" i="1"/>
  <c r="Q47" i="1"/>
  <c r="O47" i="1"/>
  <c r="N47" i="1"/>
  <c r="M47" i="1"/>
  <c r="K47" i="1"/>
  <c r="G47" i="1"/>
  <c r="F47" i="1"/>
  <c r="E47" i="1"/>
  <c r="D47" i="1"/>
  <c r="C47" i="1"/>
  <c r="B47" i="1"/>
  <c r="A47" i="1"/>
  <c r="Q46" i="1"/>
  <c r="N46" i="1"/>
  <c r="O46" i="1" s="1"/>
  <c r="M46" i="1"/>
  <c r="K46" i="1"/>
  <c r="G46" i="1"/>
  <c r="F46" i="1"/>
  <c r="E46" i="1"/>
  <c r="D46" i="1"/>
  <c r="C46" i="1"/>
  <c r="B46" i="1"/>
  <c r="A46" i="1"/>
  <c r="Q45" i="1"/>
  <c r="O45" i="1"/>
  <c r="N45" i="1"/>
  <c r="K45" i="1" s="1"/>
  <c r="M45" i="1"/>
  <c r="D45" i="1"/>
  <c r="C45" i="1"/>
  <c r="B45" i="1"/>
  <c r="A45" i="1"/>
  <c r="Q44" i="1"/>
  <c r="N44" i="1"/>
  <c r="O44" i="1" s="1"/>
  <c r="M44" i="1"/>
  <c r="F44" i="1"/>
  <c r="G44" i="1" s="1"/>
  <c r="E44" i="1"/>
  <c r="D44" i="1"/>
  <c r="C44" i="1"/>
  <c r="B44" i="1"/>
  <c r="A44" i="1"/>
  <c r="O43" i="1"/>
  <c r="N43" i="1"/>
  <c r="K43" i="1" s="1"/>
  <c r="M43" i="1"/>
  <c r="D43" i="1"/>
  <c r="F43" i="1" s="1"/>
  <c r="C43" i="1"/>
  <c r="Q43" i="1" s="1"/>
  <c r="B43" i="1"/>
  <c r="A43" i="1"/>
  <c r="N42" i="1"/>
  <c r="O42" i="1" s="1"/>
  <c r="M42" i="1"/>
  <c r="K42" i="1"/>
  <c r="D42" i="1"/>
  <c r="C42" i="1"/>
  <c r="Q42" i="1" s="1"/>
  <c r="B42" i="1"/>
  <c r="A42" i="1"/>
  <c r="Q41" i="1"/>
  <c r="N41" i="1"/>
  <c r="O41" i="1" s="1"/>
  <c r="M41" i="1"/>
  <c r="K41" i="1"/>
  <c r="D41" i="1"/>
  <c r="C41" i="1"/>
  <c r="B41" i="1"/>
  <c r="A41" i="1"/>
  <c r="O40" i="1"/>
  <c r="N40" i="1"/>
  <c r="K40" i="1" s="1"/>
  <c r="M40" i="1"/>
  <c r="F40" i="1"/>
  <c r="D40" i="1"/>
  <c r="G40" i="1" s="1"/>
  <c r="C40" i="1"/>
  <c r="Q40" i="1" s="1"/>
  <c r="B40" i="1"/>
  <c r="A40" i="1"/>
  <c r="O39" i="1"/>
  <c r="N39" i="1"/>
  <c r="M39" i="1"/>
  <c r="K39" i="1"/>
  <c r="D39" i="1"/>
  <c r="C39" i="1"/>
  <c r="Q39" i="1" s="1"/>
  <c r="B39" i="1"/>
  <c r="A39" i="1"/>
  <c r="N38" i="1"/>
  <c r="O38" i="1" s="1"/>
  <c r="M38" i="1"/>
  <c r="D38" i="1"/>
  <c r="F38" i="1" s="1"/>
  <c r="G38" i="1" s="1"/>
  <c r="C38" i="1"/>
  <c r="Q38" i="1" s="1"/>
  <c r="B38" i="1"/>
  <c r="A38" i="1"/>
  <c r="Q37" i="1"/>
  <c r="O37" i="1"/>
  <c r="N37" i="1"/>
  <c r="M37" i="1"/>
  <c r="K37" i="1"/>
  <c r="F37" i="1"/>
  <c r="G37" i="1" s="1"/>
  <c r="E37" i="1"/>
  <c r="D37" i="1"/>
  <c r="C37" i="1"/>
  <c r="B37" i="1"/>
  <c r="A37" i="1"/>
  <c r="Q36" i="1"/>
  <c r="O36" i="1"/>
  <c r="N36" i="1"/>
  <c r="M36" i="1"/>
  <c r="K36" i="1"/>
  <c r="F36" i="1"/>
  <c r="G36" i="1" s="1"/>
  <c r="E36" i="1"/>
  <c r="D36" i="1"/>
  <c r="C36" i="1"/>
  <c r="B36" i="1"/>
  <c r="A36" i="1"/>
  <c r="O35" i="1"/>
  <c r="N35" i="1"/>
  <c r="M35" i="1"/>
  <c r="K35" i="1"/>
  <c r="D35" i="1"/>
  <c r="C35" i="1"/>
  <c r="Q35" i="1" s="1"/>
  <c r="B35" i="1"/>
  <c r="A35" i="1"/>
  <c r="Q34" i="1"/>
  <c r="N34" i="1"/>
  <c r="O34" i="1" s="1"/>
  <c r="M34" i="1"/>
  <c r="K34" i="1"/>
  <c r="D34" i="1"/>
  <c r="C34" i="1"/>
  <c r="B34" i="1"/>
  <c r="A34" i="1"/>
  <c r="Q33" i="1"/>
  <c r="N33" i="1"/>
  <c r="K33" i="1" s="1"/>
  <c r="M33" i="1"/>
  <c r="H33" i="1"/>
  <c r="G33" i="1"/>
  <c r="F33" i="1"/>
  <c r="E33" i="1"/>
  <c r="D33" i="1"/>
  <c r="C33" i="1"/>
  <c r="B33" i="1"/>
  <c r="A33" i="1"/>
  <c r="O32" i="1"/>
  <c r="N32" i="1"/>
  <c r="M32" i="1"/>
  <c r="K32" i="1"/>
  <c r="E32" i="1"/>
  <c r="D32" i="1"/>
  <c r="C32" i="1"/>
  <c r="Q32" i="1" s="1"/>
  <c r="B32" i="1"/>
  <c r="A32" i="1"/>
  <c r="R31" i="1"/>
  <c r="Q31" i="1"/>
  <c r="N31" i="1"/>
  <c r="O31" i="1" s="1"/>
  <c r="M31" i="1"/>
  <c r="K31" i="1"/>
  <c r="J31" i="1"/>
  <c r="I31" i="1"/>
  <c r="H31" i="1"/>
  <c r="G31" i="1"/>
  <c r="P31" i="1" s="1"/>
  <c r="F31" i="1"/>
  <c r="D31" i="1"/>
  <c r="E31" i="1" s="1"/>
  <c r="C31" i="1"/>
  <c r="B31" i="1"/>
  <c r="A31" i="1"/>
  <c r="N30" i="1"/>
  <c r="K30" i="1" s="1"/>
  <c r="M30" i="1"/>
  <c r="E30" i="1"/>
  <c r="D30" i="1"/>
  <c r="F30" i="1" s="1"/>
  <c r="G30" i="1" s="1"/>
  <c r="C30" i="1"/>
  <c r="Q30" i="1" s="1"/>
  <c r="B30" i="1"/>
  <c r="A30" i="1"/>
  <c r="Q29" i="1"/>
  <c r="N29" i="1"/>
  <c r="O29" i="1" s="1"/>
  <c r="M29" i="1"/>
  <c r="K29" i="1"/>
  <c r="D29" i="1"/>
  <c r="C29" i="1"/>
  <c r="B29" i="1"/>
  <c r="A29" i="1"/>
  <c r="N28" i="1"/>
  <c r="O28" i="1" s="1"/>
  <c r="M28" i="1"/>
  <c r="D28" i="1"/>
  <c r="F28" i="1" s="1"/>
  <c r="G28" i="1" s="1"/>
  <c r="C28" i="1"/>
  <c r="Q28" i="1" s="1"/>
  <c r="B28" i="1"/>
  <c r="A28" i="1"/>
  <c r="O27" i="1"/>
  <c r="N27" i="1"/>
  <c r="M27" i="1"/>
  <c r="K27" i="1"/>
  <c r="D27" i="1"/>
  <c r="C27" i="1"/>
  <c r="Q27" i="1" s="1"/>
  <c r="B27" i="1"/>
  <c r="A27" i="1"/>
  <c r="N26" i="1"/>
  <c r="O26" i="1" s="1"/>
  <c r="M26" i="1"/>
  <c r="K26" i="1"/>
  <c r="D26" i="1"/>
  <c r="C26" i="1"/>
  <c r="Q26" i="1" s="1"/>
  <c r="B26" i="1"/>
  <c r="A26" i="1"/>
  <c r="Q25" i="1"/>
  <c r="O25" i="1"/>
  <c r="N25" i="1"/>
  <c r="M25" i="1"/>
  <c r="K25" i="1"/>
  <c r="D25" i="1"/>
  <c r="C25" i="1"/>
  <c r="B25" i="1"/>
  <c r="A25" i="1"/>
  <c r="Q24" i="1"/>
  <c r="O24" i="1"/>
  <c r="N24" i="1"/>
  <c r="M24" i="1"/>
  <c r="K24" i="1"/>
  <c r="F24" i="1"/>
  <c r="G24" i="1" s="1"/>
  <c r="E24" i="1"/>
  <c r="D24" i="1"/>
  <c r="C24" i="1"/>
  <c r="B24" i="1"/>
  <c r="A24" i="1"/>
  <c r="N23" i="1"/>
  <c r="O23" i="1" s="1"/>
  <c r="M23" i="1"/>
  <c r="K23" i="1"/>
  <c r="D23" i="1"/>
  <c r="C23" i="1"/>
  <c r="Q23" i="1" s="1"/>
  <c r="B23" i="1"/>
  <c r="A23" i="1"/>
  <c r="N22" i="1"/>
  <c r="M22" i="1"/>
  <c r="F22" i="1"/>
  <c r="E22" i="1"/>
  <c r="D22" i="1"/>
  <c r="C22" i="1"/>
  <c r="Q22" i="1" s="1"/>
  <c r="B22" i="1"/>
  <c r="A22" i="1"/>
  <c r="Q21" i="1"/>
  <c r="N21" i="1"/>
  <c r="O21" i="1" s="1"/>
  <c r="M21" i="1"/>
  <c r="K21" i="1"/>
  <c r="F21" i="1"/>
  <c r="G21" i="1" s="1"/>
  <c r="E21" i="1"/>
  <c r="D21" i="1"/>
  <c r="C21" i="1"/>
  <c r="B21" i="1"/>
  <c r="A21" i="1"/>
  <c r="Q20" i="1"/>
  <c r="P20" i="1"/>
  <c r="O20" i="1"/>
  <c r="N20" i="1"/>
  <c r="K20" i="1" s="1"/>
  <c r="M20" i="1"/>
  <c r="I20" i="1"/>
  <c r="G20" i="1"/>
  <c r="J20" i="1" s="1"/>
  <c r="F20" i="1"/>
  <c r="D20" i="1"/>
  <c r="C20" i="1"/>
  <c r="E20" i="1" s="1"/>
  <c r="B20" i="1"/>
  <c r="A20" i="1"/>
  <c r="N19" i="1"/>
  <c r="O19" i="1" s="1"/>
  <c r="M19" i="1"/>
  <c r="K19" i="1"/>
  <c r="D19" i="1"/>
  <c r="C19" i="1"/>
  <c r="Q19" i="1" s="1"/>
  <c r="B19" i="1"/>
  <c r="A19" i="1"/>
  <c r="O18" i="1"/>
  <c r="N18" i="1"/>
  <c r="M18" i="1"/>
  <c r="K18" i="1"/>
  <c r="J18" i="1"/>
  <c r="I18" i="1"/>
  <c r="G18" i="1"/>
  <c r="P18" i="1" s="1"/>
  <c r="D18" i="1"/>
  <c r="F18" i="1" s="1"/>
  <c r="C18" i="1"/>
  <c r="Q18" i="1" s="1"/>
  <c r="B18" i="1"/>
  <c r="A18" i="1"/>
  <c r="Q17" i="1"/>
  <c r="N17" i="1"/>
  <c r="K17" i="1" s="1"/>
  <c r="M17" i="1"/>
  <c r="F17" i="1"/>
  <c r="D17" i="1"/>
  <c r="G17" i="1" s="1"/>
  <c r="C17" i="1"/>
  <c r="B17" i="1"/>
  <c r="A17" i="1"/>
  <c r="N16" i="1"/>
  <c r="O16" i="1" s="1"/>
  <c r="M16" i="1"/>
  <c r="K16" i="1"/>
  <c r="F16" i="1"/>
  <c r="E16" i="1"/>
  <c r="D16" i="1"/>
  <c r="C16" i="1"/>
  <c r="Q16" i="1" s="1"/>
  <c r="B16" i="1"/>
  <c r="A16" i="1"/>
  <c r="O15" i="1"/>
  <c r="N15" i="1"/>
  <c r="M15" i="1"/>
  <c r="K15" i="1"/>
  <c r="D15" i="1"/>
  <c r="C15" i="1"/>
  <c r="Q15" i="1" s="1"/>
  <c r="B15" i="1"/>
  <c r="A15" i="1"/>
  <c r="Q14" i="1"/>
  <c r="N14" i="1"/>
  <c r="O14" i="1" s="1"/>
  <c r="M14" i="1"/>
  <c r="K14" i="1"/>
  <c r="D14" i="1"/>
  <c r="C14" i="1"/>
  <c r="B14" i="1"/>
  <c r="A14" i="1"/>
  <c r="N13" i="1"/>
  <c r="M13" i="1"/>
  <c r="D13" i="1"/>
  <c r="C13" i="1"/>
  <c r="Q13" i="1" s="1"/>
  <c r="B13" i="1"/>
  <c r="A13" i="1"/>
  <c r="Q12" i="1"/>
  <c r="O12" i="1"/>
  <c r="N12" i="1"/>
  <c r="K12" i="1" s="1"/>
  <c r="M12" i="1"/>
  <c r="D12" i="1"/>
  <c r="C12" i="1"/>
  <c r="B12" i="1"/>
  <c r="A12" i="1"/>
  <c r="Q11" i="1"/>
  <c r="O11" i="1"/>
  <c r="N11" i="1"/>
  <c r="M11" i="1"/>
  <c r="K11" i="1"/>
  <c r="F11" i="1"/>
  <c r="G11" i="1" s="1"/>
  <c r="D11" i="1"/>
  <c r="E11" i="1" s="1"/>
  <c r="C11" i="1"/>
  <c r="B11" i="1"/>
  <c r="A11" i="1"/>
  <c r="N10" i="1"/>
  <c r="O10" i="1" s="1"/>
  <c r="M10" i="1"/>
  <c r="K10" i="1"/>
  <c r="D10" i="1"/>
  <c r="C10" i="1"/>
  <c r="Q10" i="1" s="1"/>
  <c r="B10" i="1"/>
  <c r="A10" i="1"/>
  <c r="N9" i="1"/>
  <c r="M9" i="1"/>
  <c r="F9" i="1"/>
  <c r="D9" i="1"/>
  <c r="C9" i="1"/>
  <c r="Q9" i="1" s="1"/>
  <c r="B9" i="1"/>
  <c r="A9" i="1"/>
  <c r="N8" i="1"/>
  <c r="O8" i="1" s="1"/>
  <c r="M8" i="1"/>
  <c r="D8" i="1"/>
  <c r="C8" i="1"/>
  <c r="Q8" i="1" s="1"/>
  <c r="B8" i="1"/>
  <c r="A8" i="1"/>
  <c r="O7" i="1"/>
  <c r="N7" i="1"/>
  <c r="M7" i="1"/>
  <c r="K7" i="1"/>
  <c r="D7" i="1"/>
  <c r="C7" i="1"/>
  <c r="Q7" i="1" s="1"/>
  <c r="B7" i="1"/>
  <c r="A7" i="1"/>
  <c r="O6" i="1"/>
  <c r="N6" i="1"/>
  <c r="M6" i="1"/>
  <c r="K6" i="1"/>
  <c r="D6" i="1"/>
  <c r="F6" i="1" s="1"/>
  <c r="C6" i="1"/>
  <c r="Q6" i="1" s="1"/>
  <c r="B6" i="1"/>
  <c r="A6" i="1"/>
  <c r="O5" i="1"/>
  <c r="N5" i="1"/>
  <c r="M5" i="1"/>
  <c r="K5" i="1"/>
  <c r="D5" i="1"/>
  <c r="C5" i="1"/>
  <c r="Q5" i="1" s="1"/>
  <c r="B5" i="1"/>
  <c r="A5" i="1"/>
  <c r="Q4" i="1"/>
  <c r="O4" i="1"/>
  <c r="N4" i="1"/>
  <c r="K4" i="1" s="1"/>
  <c r="M4" i="1"/>
  <c r="H4" i="1"/>
  <c r="G4" i="1"/>
  <c r="F4" i="1"/>
  <c r="E4" i="1"/>
  <c r="D4" i="1"/>
  <c r="C4" i="1"/>
  <c r="B4" i="1"/>
  <c r="A4" i="1"/>
  <c r="O3" i="1"/>
  <c r="N3" i="1"/>
  <c r="M3" i="1"/>
  <c r="K3" i="1"/>
  <c r="F3" i="1"/>
  <c r="D3" i="1"/>
  <c r="C3" i="1"/>
  <c r="Q3" i="1" s="1"/>
  <c r="B3" i="1"/>
  <c r="A3" i="1"/>
  <c r="J106" i="1" l="1"/>
  <c r="I106" i="1"/>
  <c r="H106" i="1"/>
  <c r="P106" i="1"/>
  <c r="J49" i="1"/>
  <c r="I49" i="1"/>
  <c r="H49" i="1"/>
  <c r="P49" i="1"/>
  <c r="P57" i="1"/>
  <c r="R57" i="1" s="1"/>
  <c r="I57" i="1"/>
  <c r="J57" i="1"/>
  <c r="H57" i="1"/>
  <c r="P83" i="1"/>
  <c r="R83" i="1" s="1"/>
  <c r="J83" i="1"/>
  <c r="I83" i="1"/>
  <c r="H83" i="1"/>
  <c r="P37" i="1"/>
  <c r="J37" i="1"/>
  <c r="I37" i="1"/>
  <c r="H37" i="1"/>
  <c r="R49" i="1"/>
  <c r="J63" i="1"/>
  <c r="I63" i="1"/>
  <c r="P63" i="1"/>
  <c r="H63" i="1"/>
  <c r="J119" i="1"/>
  <c r="I119" i="1"/>
  <c r="H119" i="1"/>
  <c r="P119" i="1"/>
  <c r="R119" i="1" s="1"/>
  <c r="L157" i="1"/>
  <c r="J157" i="1"/>
  <c r="I157" i="1"/>
  <c r="P157" i="1"/>
  <c r="H157" i="1"/>
  <c r="L347" i="1"/>
  <c r="I347" i="1"/>
  <c r="P347" i="1"/>
  <c r="J347" i="1"/>
  <c r="H347" i="1"/>
  <c r="P24" i="1"/>
  <c r="R24" i="1" s="1"/>
  <c r="J24" i="1"/>
  <c r="I24" i="1"/>
  <c r="H24" i="1"/>
  <c r="J40" i="1"/>
  <c r="P40" i="1"/>
  <c r="R40" i="1" s="1"/>
  <c r="I40" i="1"/>
  <c r="H40" i="1"/>
  <c r="P122" i="1"/>
  <c r="J122" i="1"/>
  <c r="I122" i="1"/>
  <c r="H122" i="1"/>
  <c r="P280" i="1"/>
  <c r="I280" i="1"/>
  <c r="J280" i="1"/>
  <c r="H280" i="1"/>
  <c r="P173" i="1"/>
  <c r="J173" i="1"/>
  <c r="I173" i="1"/>
  <c r="L173" i="1"/>
  <c r="H173" i="1"/>
  <c r="L147" i="1"/>
  <c r="J147" i="1"/>
  <c r="P147" i="1"/>
  <c r="I147" i="1"/>
  <c r="H147" i="1"/>
  <c r="J348" i="1"/>
  <c r="L348" i="1"/>
  <c r="P348" i="1"/>
  <c r="I348" i="1"/>
  <c r="H348" i="1"/>
  <c r="R30" i="1"/>
  <c r="J36" i="1"/>
  <c r="P36" i="1"/>
  <c r="R36" i="1" s="1"/>
  <c r="I36" i="1"/>
  <c r="H36" i="1"/>
  <c r="J69" i="1"/>
  <c r="P69" i="1"/>
  <c r="R69" i="1" s="1"/>
  <c r="I69" i="1"/>
  <c r="H69" i="1"/>
  <c r="J100" i="1"/>
  <c r="P100" i="1"/>
  <c r="I100" i="1"/>
  <c r="H100" i="1"/>
  <c r="J232" i="1"/>
  <c r="I232" i="1"/>
  <c r="H232" i="1"/>
  <c r="P232" i="1"/>
  <c r="L232" i="1"/>
  <c r="J236" i="1"/>
  <c r="I236" i="1"/>
  <c r="P236" i="1"/>
  <c r="L236" i="1"/>
  <c r="H236" i="1"/>
  <c r="P11" i="1"/>
  <c r="R11" i="1" s="1"/>
  <c r="J11" i="1"/>
  <c r="I11" i="1"/>
  <c r="H11" i="1"/>
  <c r="J30" i="1"/>
  <c r="P30" i="1"/>
  <c r="I30" i="1"/>
  <c r="H30" i="1"/>
  <c r="P246" i="1"/>
  <c r="R246" i="1" s="1"/>
  <c r="H246" i="1"/>
  <c r="J246" i="1"/>
  <c r="I246" i="1"/>
  <c r="G34" i="1"/>
  <c r="G41" i="1"/>
  <c r="J60" i="1"/>
  <c r="I60" i="1"/>
  <c r="H60" i="1"/>
  <c r="P60" i="1"/>
  <c r="R60" i="1" s="1"/>
  <c r="R93" i="1"/>
  <c r="H84" i="1"/>
  <c r="P84" i="1"/>
  <c r="J84" i="1"/>
  <c r="I84" i="1"/>
  <c r="P144" i="1"/>
  <c r="L144" i="1"/>
  <c r="J144" i="1"/>
  <c r="I144" i="1"/>
  <c r="H144" i="1"/>
  <c r="G14" i="1"/>
  <c r="P103" i="1"/>
  <c r="R103" i="1" s="1"/>
  <c r="J103" i="1"/>
  <c r="I103" i="1"/>
  <c r="H103" i="1"/>
  <c r="J179" i="1"/>
  <c r="P179" i="1"/>
  <c r="R179" i="1" s="1"/>
  <c r="I179" i="1"/>
  <c r="H179" i="1"/>
  <c r="L229" i="1"/>
  <c r="J229" i="1"/>
  <c r="I229" i="1"/>
  <c r="P229" i="1"/>
  <c r="H229" i="1"/>
  <c r="J89" i="1"/>
  <c r="I89" i="1"/>
  <c r="H89" i="1"/>
  <c r="P89" i="1"/>
  <c r="R89" i="1" s="1"/>
  <c r="L187" i="1"/>
  <c r="J187" i="1"/>
  <c r="I187" i="1"/>
  <c r="P187" i="1"/>
  <c r="H187" i="1"/>
  <c r="P44" i="1"/>
  <c r="R44" i="1" s="1"/>
  <c r="I44" i="1"/>
  <c r="J44" i="1"/>
  <c r="H44" i="1"/>
  <c r="J66" i="1"/>
  <c r="I66" i="1"/>
  <c r="H66" i="1"/>
  <c r="P66" i="1"/>
  <c r="R66" i="1" s="1"/>
  <c r="R142" i="1"/>
  <c r="G27" i="1"/>
  <c r="P28" i="1"/>
  <c r="R28" i="1" s="1"/>
  <c r="J28" i="1"/>
  <c r="I28" i="1"/>
  <c r="H28" i="1"/>
  <c r="P171" i="1"/>
  <c r="L171" i="1"/>
  <c r="I171" i="1"/>
  <c r="H171" i="1"/>
  <c r="J171" i="1"/>
  <c r="R58" i="1"/>
  <c r="P101" i="1"/>
  <c r="R101" i="1" s="1"/>
  <c r="H101" i="1"/>
  <c r="J101" i="1"/>
  <c r="I101" i="1"/>
  <c r="P198" i="1"/>
  <c r="L198" i="1"/>
  <c r="J198" i="1"/>
  <c r="I198" i="1"/>
  <c r="H198" i="1"/>
  <c r="J17" i="1"/>
  <c r="P17" i="1"/>
  <c r="R17" i="1" s="1"/>
  <c r="I17" i="1"/>
  <c r="H17" i="1"/>
  <c r="P21" i="1"/>
  <c r="R21" i="1" s="1"/>
  <c r="J21" i="1"/>
  <c r="I21" i="1"/>
  <c r="H21" i="1"/>
  <c r="P131" i="1"/>
  <c r="R131" i="1" s="1"/>
  <c r="J131" i="1"/>
  <c r="I131" i="1"/>
  <c r="H131" i="1"/>
  <c r="H275" i="1"/>
  <c r="P275" i="1"/>
  <c r="J275" i="1"/>
  <c r="I275" i="1"/>
  <c r="G135" i="1"/>
  <c r="P54" i="1"/>
  <c r="R54" i="1" s="1"/>
  <c r="J54" i="1"/>
  <c r="I54" i="1"/>
  <c r="H54" i="1"/>
  <c r="P234" i="1"/>
  <c r="J234" i="1"/>
  <c r="I234" i="1"/>
  <c r="H234" i="1"/>
  <c r="L234" i="1"/>
  <c r="F53" i="1"/>
  <c r="G53" i="1" s="1"/>
  <c r="P67" i="1"/>
  <c r="R67" i="1" s="1"/>
  <c r="J67" i="1"/>
  <c r="I67" i="1"/>
  <c r="H67" i="1"/>
  <c r="K77" i="1"/>
  <c r="F81" i="1"/>
  <c r="G81" i="1" s="1"/>
  <c r="P98" i="1"/>
  <c r="R98" i="1" s="1"/>
  <c r="H98" i="1"/>
  <c r="K103" i="1"/>
  <c r="R111" i="1"/>
  <c r="J124" i="1"/>
  <c r="I124" i="1"/>
  <c r="P124" i="1"/>
  <c r="K209" i="1"/>
  <c r="O209" i="1"/>
  <c r="J260" i="1"/>
  <c r="I260" i="1"/>
  <c r="P260" i="1"/>
  <c r="H260" i="1"/>
  <c r="J336" i="1"/>
  <c r="I336" i="1"/>
  <c r="H336" i="1"/>
  <c r="P336" i="1"/>
  <c r="L336" i="1"/>
  <c r="G353" i="1"/>
  <c r="K361" i="1"/>
  <c r="O361" i="1"/>
  <c r="J47" i="1"/>
  <c r="I47" i="1"/>
  <c r="P61" i="1"/>
  <c r="H61" i="1"/>
  <c r="F86" i="1"/>
  <c r="G86" i="1" s="1"/>
  <c r="J91" i="1"/>
  <c r="I91" i="1"/>
  <c r="P140" i="1"/>
  <c r="R140" i="1" s="1"/>
  <c r="J140" i="1"/>
  <c r="G150" i="1"/>
  <c r="F162" i="1"/>
  <c r="G162" i="1" s="1"/>
  <c r="E162" i="1"/>
  <c r="J169" i="1"/>
  <c r="I169" i="1"/>
  <c r="F181" i="1"/>
  <c r="G181" i="1" s="1"/>
  <c r="F189" i="1"/>
  <c r="G189" i="1" s="1"/>
  <c r="E189" i="1"/>
  <c r="J216" i="1"/>
  <c r="I216" i="1"/>
  <c r="P216" i="1"/>
  <c r="F250" i="1"/>
  <c r="G250" i="1" s="1"/>
  <c r="L307" i="1"/>
  <c r="I307" i="1"/>
  <c r="P307" i="1"/>
  <c r="J307" i="1"/>
  <c r="H307" i="1"/>
  <c r="L315" i="1"/>
  <c r="J315" i="1"/>
  <c r="H315" i="1"/>
  <c r="P315" i="1"/>
  <c r="I315" i="1"/>
  <c r="H47" i="1"/>
  <c r="R51" i="1"/>
  <c r="H58" i="1"/>
  <c r="I61" i="1"/>
  <c r="E74" i="1"/>
  <c r="E86" i="1"/>
  <c r="H91" i="1"/>
  <c r="H140" i="1"/>
  <c r="G146" i="1"/>
  <c r="E150" i="1"/>
  <c r="H169" i="1"/>
  <c r="E181" i="1"/>
  <c r="H216" i="1"/>
  <c r="P243" i="1"/>
  <c r="R243" i="1" s="1"/>
  <c r="I243" i="1"/>
  <c r="J243" i="1"/>
  <c r="H243" i="1"/>
  <c r="E250" i="1"/>
  <c r="I304" i="1"/>
  <c r="P304" i="1"/>
  <c r="J304" i="1"/>
  <c r="L304" i="1"/>
  <c r="H304" i="1"/>
  <c r="P313" i="1"/>
  <c r="J313" i="1"/>
  <c r="I313" i="1"/>
  <c r="H313" i="1"/>
  <c r="L350" i="1"/>
  <c r="J350" i="1"/>
  <c r="I350" i="1"/>
  <c r="P350" i="1"/>
  <c r="H350" i="1"/>
  <c r="L359" i="1"/>
  <c r="J359" i="1"/>
  <c r="I359" i="1"/>
  <c r="H359" i="1"/>
  <c r="J388" i="1"/>
  <c r="L388" i="1"/>
  <c r="I388" i="1"/>
  <c r="H388" i="1"/>
  <c r="P388" i="1"/>
  <c r="F7" i="1"/>
  <c r="G7" i="1" s="1"/>
  <c r="E7" i="1"/>
  <c r="E39" i="1"/>
  <c r="F39" i="1"/>
  <c r="G39" i="1" s="1"/>
  <c r="I58" i="1"/>
  <c r="J61" i="1"/>
  <c r="F74" i="1"/>
  <c r="G74" i="1" s="1"/>
  <c r="K86" i="1"/>
  <c r="F105" i="1"/>
  <c r="G105" i="1" s="1"/>
  <c r="E105" i="1"/>
  <c r="P110" i="1"/>
  <c r="R110" i="1" s="1"/>
  <c r="J110" i="1"/>
  <c r="I110" i="1"/>
  <c r="E115" i="1"/>
  <c r="K124" i="1"/>
  <c r="O124" i="1"/>
  <c r="O136" i="1"/>
  <c r="K136" i="1"/>
  <c r="I140" i="1"/>
  <c r="E142" i="1"/>
  <c r="E146" i="1"/>
  <c r="F150" i="1"/>
  <c r="G165" i="1"/>
  <c r="F165" i="1"/>
  <c r="L169" i="1"/>
  <c r="P183" i="1"/>
  <c r="R183" i="1" s="1"/>
  <c r="J183" i="1"/>
  <c r="I183" i="1"/>
  <c r="H183" i="1"/>
  <c r="R211" i="1"/>
  <c r="O254" i="1"/>
  <c r="K254" i="1"/>
  <c r="H268" i="1"/>
  <c r="I268" i="1"/>
  <c r="P268" i="1"/>
  <c r="F281" i="1"/>
  <c r="G281" i="1"/>
  <c r="E281" i="1"/>
  <c r="P359" i="1"/>
  <c r="E17" i="1"/>
  <c r="H20" i="1"/>
  <c r="J58" i="1"/>
  <c r="O79" i="1"/>
  <c r="O108" i="1"/>
  <c r="K108" i="1"/>
  <c r="H110" i="1"/>
  <c r="F115" i="1"/>
  <c r="G115" i="1" s="1"/>
  <c r="J142" i="1"/>
  <c r="I142" i="1"/>
  <c r="H142" i="1"/>
  <c r="F146" i="1"/>
  <c r="E165" i="1"/>
  <c r="L226" i="1"/>
  <c r="P226" i="1"/>
  <c r="J226" i="1"/>
  <c r="J268" i="1"/>
  <c r="L313" i="1"/>
  <c r="F55" i="1"/>
  <c r="G55" i="1" s="1"/>
  <c r="E55" i="1"/>
  <c r="F102" i="1"/>
  <c r="G102" i="1" s="1"/>
  <c r="P153" i="1"/>
  <c r="R153" i="1" s="1"/>
  <c r="J153" i="1"/>
  <c r="I153" i="1"/>
  <c r="H153" i="1"/>
  <c r="L160" i="1"/>
  <c r="J160" i="1"/>
  <c r="I160" i="1"/>
  <c r="P160" i="1"/>
  <c r="H160" i="1"/>
  <c r="F206" i="1"/>
  <c r="G206" i="1" s="1"/>
  <c r="R216" i="1"/>
  <c r="P235" i="1"/>
  <c r="L235" i="1"/>
  <c r="I235" i="1"/>
  <c r="H235" i="1"/>
  <c r="J235" i="1"/>
  <c r="M268" i="1"/>
  <c r="Q268" i="1"/>
  <c r="R268" i="1" s="1"/>
  <c r="J277" i="1"/>
  <c r="I277" i="1"/>
  <c r="P277" i="1"/>
  <c r="H277" i="1"/>
  <c r="Q334" i="1"/>
  <c r="M334" i="1"/>
  <c r="F337" i="1"/>
  <c r="G337" i="1" s="1"/>
  <c r="E337" i="1"/>
  <c r="G9" i="1"/>
  <c r="E14" i="1"/>
  <c r="E27" i="1"/>
  <c r="K28" i="1"/>
  <c r="E41" i="1"/>
  <c r="H71" i="1"/>
  <c r="P88" i="1"/>
  <c r="R88" i="1" s="1"/>
  <c r="I88" i="1"/>
  <c r="J88" i="1"/>
  <c r="H88" i="1"/>
  <c r="E93" i="1"/>
  <c r="E95" i="1"/>
  <c r="E102" i="1"/>
  <c r="R132" i="1"/>
  <c r="N138" i="1"/>
  <c r="O140" i="1"/>
  <c r="K153" i="1"/>
  <c r="E163" i="1"/>
  <c r="F172" i="1"/>
  <c r="G172" i="1" s="1"/>
  <c r="E206" i="1"/>
  <c r="N214" i="1"/>
  <c r="M214" i="1"/>
  <c r="Q214" i="1"/>
  <c r="R214" i="1" s="1"/>
  <c r="I226" i="1"/>
  <c r="N268" i="1"/>
  <c r="R275" i="1"/>
  <c r="J279" i="1"/>
  <c r="I279" i="1"/>
  <c r="P279" i="1"/>
  <c r="R279" i="1" s="1"/>
  <c r="H279" i="1"/>
  <c r="N334" i="1"/>
  <c r="E9" i="1"/>
  <c r="F14" i="1"/>
  <c r="G22" i="1"/>
  <c r="F27" i="1"/>
  <c r="J33" i="1"/>
  <c r="I33" i="1"/>
  <c r="P33" i="1"/>
  <c r="F41" i="1"/>
  <c r="K44" i="1"/>
  <c r="P47" i="1"/>
  <c r="I71" i="1"/>
  <c r="J76" i="1"/>
  <c r="I76" i="1"/>
  <c r="H76" i="1"/>
  <c r="P91" i="1"/>
  <c r="R91" i="1" s="1"/>
  <c r="J93" i="1"/>
  <c r="I93" i="1"/>
  <c r="H93" i="1"/>
  <c r="F95" i="1"/>
  <c r="G95" i="1" s="1"/>
  <c r="F121" i="1"/>
  <c r="G121" i="1" s="1"/>
  <c r="E121" i="1"/>
  <c r="P142" i="1"/>
  <c r="F163" i="1"/>
  <c r="G163" i="1" s="1"/>
  <c r="P169" i="1"/>
  <c r="G197" i="1"/>
  <c r="F197" i="1"/>
  <c r="L204" i="1"/>
  <c r="J204" i="1"/>
  <c r="I204" i="1"/>
  <c r="F346" i="1"/>
  <c r="G346" i="1" s="1"/>
  <c r="E346" i="1"/>
  <c r="J4" i="1"/>
  <c r="P4" i="1"/>
  <c r="R4" i="1" s="1"/>
  <c r="R47" i="1"/>
  <c r="J71" i="1"/>
  <c r="O88" i="1"/>
  <c r="K88" i="1"/>
  <c r="J117" i="1"/>
  <c r="I117" i="1"/>
  <c r="P125" i="1"/>
  <c r="H125" i="1"/>
  <c r="J125" i="1"/>
  <c r="I125" i="1"/>
  <c r="J151" i="1"/>
  <c r="I151" i="1"/>
  <c r="L151" i="1"/>
  <c r="H151" i="1"/>
  <c r="Q199" i="1"/>
  <c r="R199" i="1" s="1"/>
  <c r="N199" i="1"/>
  <c r="M199" i="1"/>
  <c r="P208" i="1"/>
  <c r="R208" i="1" s="1"/>
  <c r="I208" i="1"/>
  <c r="H208" i="1"/>
  <c r="J210" i="1"/>
  <c r="I210" i="1"/>
  <c r="H210" i="1"/>
  <c r="P210" i="1"/>
  <c r="R210" i="1" s="1"/>
  <c r="E246" i="1"/>
  <c r="F326" i="1"/>
  <c r="G326" i="1" s="1"/>
  <c r="E326" i="1"/>
  <c r="J46" i="1"/>
  <c r="I46" i="1"/>
  <c r="H46" i="1"/>
  <c r="P46" i="1"/>
  <c r="R46" i="1" s="1"/>
  <c r="Q62" i="1"/>
  <c r="E62" i="1"/>
  <c r="Q68" i="1"/>
  <c r="R68" i="1" s="1"/>
  <c r="E68" i="1"/>
  <c r="O69" i="1"/>
  <c r="H78" i="1"/>
  <c r="E97" i="1"/>
  <c r="R100" i="1"/>
  <c r="F109" i="1"/>
  <c r="E109" i="1"/>
  <c r="H117" i="1"/>
  <c r="F135" i="1"/>
  <c r="E137" i="1"/>
  <c r="J208" i="1"/>
  <c r="I4" i="1"/>
  <c r="E19" i="1"/>
  <c r="R20" i="1"/>
  <c r="E43" i="1"/>
  <c r="O76" i="1"/>
  <c r="I78" i="1"/>
  <c r="E80" i="1"/>
  <c r="O93" i="1"/>
  <c r="F97" i="1"/>
  <c r="G97" i="1" s="1"/>
  <c r="J107" i="1"/>
  <c r="G109" i="1"/>
  <c r="K127" i="1"/>
  <c r="O127" i="1"/>
  <c r="G137" i="1"/>
  <c r="E161" i="1"/>
  <c r="J182" i="1"/>
  <c r="I182" i="1"/>
  <c r="P190" i="1"/>
  <c r="L190" i="1"/>
  <c r="I190" i="1"/>
  <c r="H190" i="1"/>
  <c r="P204" i="1"/>
  <c r="F227" i="1"/>
  <c r="G227" i="1" s="1"/>
  <c r="E227" i="1"/>
  <c r="G338" i="1"/>
  <c r="F338" i="1"/>
  <c r="E338" i="1"/>
  <c r="G3" i="1"/>
  <c r="E6" i="1"/>
  <c r="O9" i="1"/>
  <c r="K9" i="1"/>
  <c r="O17" i="1"/>
  <c r="F19" i="1"/>
  <c r="G19" i="1" s="1"/>
  <c r="O22" i="1"/>
  <c r="K22" i="1"/>
  <c r="O33" i="1"/>
  <c r="I38" i="1"/>
  <c r="H38" i="1"/>
  <c r="G43" i="1"/>
  <c r="R63" i="1"/>
  <c r="P76" i="1"/>
  <c r="R76" i="1" s="1"/>
  <c r="J78" i="1"/>
  <c r="F80" i="1"/>
  <c r="G80" i="1" s="1"/>
  <c r="G82" i="1"/>
  <c r="F82" i="1"/>
  <c r="P93" i="1"/>
  <c r="F99" i="1"/>
  <c r="G99" i="1" s="1"/>
  <c r="E99" i="1"/>
  <c r="H104" i="1"/>
  <c r="G114" i="1"/>
  <c r="P151" i="1"/>
  <c r="F161" i="1"/>
  <c r="G161" i="1" s="1"/>
  <c r="G175" i="1"/>
  <c r="F177" i="1"/>
  <c r="G177" i="1" s="1"/>
  <c r="E177" i="1"/>
  <c r="O179" i="1"/>
  <c r="H182" i="1"/>
  <c r="J190" i="1"/>
  <c r="I248" i="1"/>
  <c r="H248" i="1"/>
  <c r="L248" i="1"/>
  <c r="P248" i="1"/>
  <c r="E3" i="1"/>
  <c r="G6" i="1"/>
  <c r="G16" i="1"/>
  <c r="O30" i="1"/>
  <c r="F32" i="1"/>
  <c r="G32" i="1" s="1"/>
  <c r="R33" i="1"/>
  <c r="J38" i="1"/>
  <c r="P68" i="1"/>
  <c r="E82" i="1"/>
  <c r="I104" i="1"/>
  <c r="E114" i="1"/>
  <c r="O117" i="1"/>
  <c r="R125" i="1"/>
  <c r="G168" i="1"/>
  <c r="E175" i="1"/>
  <c r="G195" i="1"/>
  <c r="J248" i="1"/>
  <c r="H363" i="1"/>
  <c r="L363" i="1"/>
  <c r="J363" i="1"/>
  <c r="P363" i="1"/>
  <c r="F29" i="1"/>
  <c r="G29" i="1" s="1"/>
  <c r="K38" i="1"/>
  <c r="R71" i="1"/>
  <c r="F92" i="1"/>
  <c r="G92" i="1" s="1"/>
  <c r="P117" i="1"/>
  <c r="R117" i="1" s="1"/>
  <c r="L139" i="1"/>
  <c r="J139" i="1"/>
  <c r="I139" i="1"/>
  <c r="P139" i="1"/>
  <c r="J145" i="1"/>
  <c r="I145" i="1"/>
  <c r="H145" i="1"/>
  <c r="F154" i="1"/>
  <c r="E154" i="1"/>
  <c r="G358" i="1"/>
  <c r="E29" i="1"/>
  <c r="E40" i="1"/>
  <c r="E92" i="1"/>
  <c r="E101" i="1"/>
  <c r="E103" i="1"/>
  <c r="E106" i="1"/>
  <c r="H111" i="1"/>
  <c r="G130" i="1"/>
  <c r="O131" i="1"/>
  <c r="H139" i="1"/>
  <c r="L145" i="1"/>
  <c r="G154" i="1"/>
  <c r="F159" i="1"/>
  <c r="G159" i="1" s="1"/>
  <c r="E159" i="1"/>
  <c r="E256" i="1"/>
  <c r="G256" i="1"/>
  <c r="F312" i="1"/>
  <c r="G312" i="1" s="1"/>
  <c r="E358" i="1"/>
  <c r="F70" i="1"/>
  <c r="G70" i="1" s="1"/>
  <c r="F116" i="1"/>
  <c r="G116" i="1" s="1"/>
  <c r="E116" i="1"/>
  <c r="J166" i="1"/>
  <c r="I166" i="1"/>
  <c r="H166" i="1"/>
  <c r="P166" i="1"/>
  <c r="R166" i="1" s="1"/>
  <c r="P213" i="1"/>
  <c r="J213" i="1"/>
  <c r="I213" i="1"/>
  <c r="H213" i="1"/>
  <c r="L213" i="1"/>
  <c r="G231" i="1"/>
  <c r="F231" i="1"/>
  <c r="E231" i="1"/>
  <c r="L242" i="1"/>
  <c r="P242" i="1"/>
  <c r="J242" i="1"/>
  <c r="H242" i="1"/>
  <c r="E324" i="1"/>
  <c r="P324" i="1"/>
  <c r="E8" i="1"/>
  <c r="E10" i="1"/>
  <c r="E13" i="1"/>
  <c r="E23" i="1"/>
  <c r="E26" i="1"/>
  <c r="F56" i="1"/>
  <c r="G56" i="1"/>
  <c r="E70" i="1"/>
  <c r="Q73" i="1"/>
  <c r="H75" i="1"/>
  <c r="G77" i="1"/>
  <c r="F77" i="1"/>
  <c r="K80" i="1"/>
  <c r="O80" i="1"/>
  <c r="J111" i="1"/>
  <c r="R122" i="1"/>
  <c r="E128" i="1"/>
  <c r="F130" i="1"/>
  <c r="P182" i="1"/>
  <c r="R182" i="1" s="1"/>
  <c r="Q191" i="1"/>
  <c r="R191" i="1" s="1"/>
  <c r="N191" i="1"/>
  <c r="M191" i="1"/>
  <c r="I242" i="1"/>
  <c r="N309" i="1"/>
  <c r="M309" i="1"/>
  <c r="K314" i="1"/>
  <c r="O314" i="1"/>
  <c r="N380" i="1"/>
  <c r="M380" i="1"/>
  <c r="Q380" i="1"/>
  <c r="R380" i="1" s="1"/>
  <c r="F8" i="1"/>
  <c r="G8" i="1" s="1"/>
  <c r="F10" i="1"/>
  <c r="G10" i="1" s="1"/>
  <c r="F13" i="1"/>
  <c r="G13" i="1" s="1"/>
  <c r="F23" i="1"/>
  <c r="G23" i="1" s="1"/>
  <c r="F26" i="1"/>
  <c r="G26" i="1" s="1"/>
  <c r="E34" i="1"/>
  <c r="P38" i="1"/>
  <c r="R38" i="1" s="1"/>
  <c r="E56" i="1"/>
  <c r="R61" i="1"/>
  <c r="G72" i="1"/>
  <c r="F72" i="1"/>
  <c r="I75" i="1"/>
  <c r="E77" i="1"/>
  <c r="F94" i="1"/>
  <c r="G94" i="1" s="1"/>
  <c r="R124" i="1"/>
  <c r="F128" i="1"/>
  <c r="G128" i="1" s="1"/>
  <c r="O184" i="1"/>
  <c r="H191" i="1"/>
  <c r="F218" i="1"/>
  <c r="G218" i="1" s="1"/>
  <c r="E218" i="1"/>
  <c r="F220" i="1"/>
  <c r="G220" i="1" s="1"/>
  <c r="E220" i="1"/>
  <c r="I267" i="1"/>
  <c r="P267" i="1"/>
  <c r="L267" i="1"/>
  <c r="J267" i="1"/>
  <c r="H267" i="1"/>
  <c r="N295" i="1"/>
  <c r="M295" i="1"/>
  <c r="Q295" i="1"/>
  <c r="Q309" i="1"/>
  <c r="G5" i="1"/>
  <c r="F5" i="1"/>
  <c r="E5" i="1"/>
  <c r="F34" i="1"/>
  <c r="O70" i="1"/>
  <c r="K70" i="1"/>
  <c r="J75" i="1"/>
  <c r="E94" i="1"/>
  <c r="E122" i="1"/>
  <c r="P145" i="1"/>
  <c r="P164" i="1"/>
  <c r="J164" i="1"/>
  <c r="I164" i="1"/>
  <c r="H164" i="1"/>
  <c r="L164" i="1"/>
  <c r="I191" i="1"/>
  <c r="J211" i="1"/>
  <c r="I211" i="1"/>
  <c r="P211" i="1"/>
  <c r="P321" i="1"/>
  <c r="L321" i="1"/>
  <c r="J321" i="1"/>
  <c r="H321" i="1"/>
  <c r="K8" i="1"/>
  <c r="H18" i="1"/>
  <c r="R104" i="1"/>
  <c r="P118" i="1"/>
  <c r="J118" i="1"/>
  <c r="I118" i="1"/>
  <c r="H132" i="1"/>
  <c r="J132" i="1"/>
  <c r="F134" i="1"/>
  <c r="G134" i="1" s="1"/>
  <c r="E134" i="1"/>
  <c r="J191" i="1"/>
  <c r="F252" i="1"/>
  <c r="G252" i="1" s="1"/>
  <c r="F257" i="1"/>
  <c r="G257" i="1" s="1"/>
  <c r="E257" i="1"/>
  <c r="I321" i="1"/>
  <c r="M361" i="1"/>
  <c r="P334" i="1"/>
  <c r="I334" i="1"/>
  <c r="J334" i="1"/>
  <c r="H334" i="1"/>
  <c r="K220" i="1"/>
  <c r="O220" i="1"/>
  <c r="O227" i="1"/>
  <c r="K227" i="1"/>
  <c r="F251" i="1"/>
  <c r="G251" i="1" s="1"/>
  <c r="F253" i="1"/>
  <c r="G253" i="1" s="1"/>
  <c r="E253" i="1"/>
  <c r="F262" i="1"/>
  <c r="G262" i="1" s="1"/>
  <c r="E262" i="1"/>
  <c r="F270" i="1"/>
  <c r="G270" i="1" s="1"/>
  <c r="E270" i="1"/>
  <c r="G192" i="1"/>
  <c r="E192" i="1"/>
  <c r="R237" i="1"/>
  <c r="R277" i="1"/>
  <c r="F293" i="1"/>
  <c r="G293" i="1" s="1"/>
  <c r="E293" i="1"/>
  <c r="H373" i="1"/>
  <c r="J373" i="1"/>
  <c r="I373" i="1"/>
  <c r="L373" i="1"/>
  <c r="K13" i="1"/>
  <c r="O13" i="1"/>
  <c r="F85" i="1"/>
  <c r="G85" i="1" s="1"/>
  <c r="E85" i="1"/>
  <c r="F96" i="1"/>
  <c r="G96" i="1" s="1"/>
  <c r="E96" i="1"/>
  <c r="R106" i="1"/>
  <c r="P108" i="1"/>
  <c r="R108" i="1" s="1"/>
  <c r="I108" i="1"/>
  <c r="L152" i="1"/>
  <c r="J152" i="1"/>
  <c r="I152" i="1"/>
  <c r="H152" i="1"/>
  <c r="F158" i="1"/>
  <c r="G158" i="1" s="1"/>
  <c r="E158" i="1"/>
  <c r="F192" i="1"/>
  <c r="E240" i="1"/>
  <c r="F291" i="1"/>
  <c r="G291" i="1" s="1"/>
  <c r="E311" i="1"/>
  <c r="F316" i="1"/>
  <c r="G316" i="1" s="1"/>
  <c r="E316" i="1"/>
  <c r="P373" i="1"/>
  <c r="F384" i="1"/>
  <c r="G384" i="1"/>
  <c r="E35" i="1"/>
  <c r="G42" i="1"/>
  <c r="F42" i="1"/>
  <c r="F196" i="1"/>
  <c r="G196" i="1" s="1"/>
  <c r="F203" i="1"/>
  <c r="G203" i="1" s="1"/>
  <c r="E203" i="1"/>
  <c r="F207" i="1"/>
  <c r="G207" i="1" s="1"/>
  <c r="F221" i="1"/>
  <c r="G221" i="1" s="1"/>
  <c r="L223" i="1"/>
  <c r="H223" i="1"/>
  <c r="J223" i="1"/>
  <c r="I223" i="1"/>
  <c r="F240" i="1"/>
  <c r="G240" i="1" s="1"/>
  <c r="I258" i="1"/>
  <c r="P258" i="1"/>
  <c r="H258" i="1"/>
  <c r="J258" i="1"/>
  <c r="E291" i="1"/>
  <c r="F311" i="1"/>
  <c r="G311" i="1" s="1"/>
  <c r="L357" i="1"/>
  <c r="P357" i="1"/>
  <c r="I357" i="1"/>
  <c r="H357" i="1"/>
  <c r="J357" i="1"/>
  <c r="E384" i="1"/>
  <c r="E15" i="1"/>
  <c r="F35" i="1"/>
  <c r="G35" i="1" s="1"/>
  <c r="E42" i="1"/>
  <c r="F45" i="1"/>
  <c r="G45" i="1" s="1"/>
  <c r="E45" i="1"/>
  <c r="F62" i="1"/>
  <c r="G62" i="1" s="1"/>
  <c r="F73" i="1"/>
  <c r="G73" i="1" s="1"/>
  <c r="E79" i="1"/>
  <c r="E87" i="1"/>
  <c r="J108" i="1"/>
  <c r="J127" i="1"/>
  <c r="I127" i="1"/>
  <c r="P127" i="1"/>
  <c r="R127" i="1" s="1"/>
  <c r="E143" i="1"/>
  <c r="P152" i="1"/>
  <c r="H184" i="1"/>
  <c r="P184" i="1"/>
  <c r="R184" i="1" s="1"/>
  <c r="J184" i="1"/>
  <c r="E196" i="1"/>
  <c r="I205" i="1"/>
  <c r="E207" i="1"/>
  <c r="E221" i="1"/>
  <c r="F245" i="1"/>
  <c r="G245" i="1" s="1"/>
  <c r="E245" i="1"/>
  <c r="G306" i="1"/>
  <c r="G377" i="1"/>
  <c r="F377" i="1"/>
  <c r="F12" i="1"/>
  <c r="G12" i="1" s="1"/>
  <c r="E12" i="1"/>
  <c r="F15" i="1"/>
  <c r="G15" i="1" s="1"/>
  <c r="R18" i="1"/>
  <c r="E28" i="1"/>
  <c r="R37" i="1"/>
  <c r="E66" i="1"/>
  <c r="R75" i="1"/>
  <c r="F79" i="1"/>
  <c r="G79" i="1" s="1"/>
  <c r="G87" i="1"/>
  <c r="G90" i="1"/>
  <c r="H127" i="1"/>
  <c r="F143" i="1"/>
  <c r="G143" i="1" s="1"/>
  <c r="F186" i="1"/>
  <c r="G186" i="1" s="1"/>
  <c r="E186" i="1"/>
  <c r="J205" i="1"/>
  <c r="F209" i="1"/>
  <c r="G209" i="1" s="1"/>
  <c r="E217" i="1"/>
  <c r="P219" i="1"/>
  <c r="R219" i="1" s="1"/>
  <c r="J219" i="1"/>
  <c r="P223" i="1"/>
  <c r="F247" i="1"/>
  <c r="E247" i="1"/>
  <c r="G247" i="1"/>
  <c r="L258" i="1"/>
  <c r="P319" i="1"/>
  <c r="I319" i="1"/>
  <c r="L319" i="1"/>
  <c r="H319" i="1"/>
  <c r="J319" i="1"/>
  <c r="E330" i="1"/>
  <c r="G330" i="1"/>
  <c r="F330" i="1"/>
  <c r="Q341" i="1"/>
  <c r="R341" i="1" s="1"/>
  <c r="N341" i="1"/>
  <c r="M341" i="1"/>
  <c r="P360" i="1"/>
  <c r="L360" i="1"/>
  <c r="J360" i="1"/>
  <c r="I360" i="1"/>
  <c r="H360" i="1"/>
  <c r="E377" i="1"/>
  <c r="F25" i="1"/>
  <c r="G25" i="1" s="1"/>
  <c r="E25" i="1"/>
  <c r="G48" i="1"/>
  <c r="R50" i="1"/>
  <c r="J113" i="1"/>
  <c r="I113" i="1"/>
  <c r="H113" i="1"/>
  <c r="R118" i="1"/>
  <c r="G136" i="1"/>
  <c r="F136" i="1"/>
  <c r="E136" i="1"/>
  <c r="P138" i="1"/>
  <c r="R138" i="1" s="1"/>
  <c r="J138" i="1"/>
  <c r="G155" i="1"/>
  <c r="F155" i="1"/>
  <c r="E155" i="1"/>
  <c r="L176" i="1"/>
  <c r="J176" i="1"/>
  <c r="P176" i="1"/>
  <c r="I176" i="1"/>
  <c r="H176" i="1"/>
  <c r="P199" i="1"/>
  <c r="H199" i="1"/>
  <c r="E209" i="1"/>
  <c r="F217" i="1"/>
  <c r="G217" i="1" s="1"/>
  <c r="H219" i="1"/>
  <c r="O284" i="1"/>
  <c r="F306" i="1"/>
  <c r="N339" i="1"/>
  <c r="Q339" i="1"/>
  <c r="R339" i="1" s="1"/>
  <c r="M339" i="1"/>
  <c r="P371" i="1"/>
  <c r="J371" i="1"/>
  <c r="L371" i="1"/>
  <c r="I371" i="1"/>
  <c r="P222" i="1"/>
  <c r="L222" i="1"/>
  <c r="F264" i="1"/>
  <c r="G264" i="1" s="1"/>
  <c r="E264" i="1"/>
  <c r="F285" i="1"/>
  <c r="G285" i="1" s="1"/>
  <c r="I309" i="1"/>
  <c r="H309" i="1"/>
  <c r="P309" i="1"/>
  <c r="F356" i="1"/>
  <c r="E356" i="1"/>
  <c r="G356" i="1"/>
  <c r="R84" i="1"/>
  <c r="G149" i="1"/>
  <c r="F149" i="1"/>
  <c r="E149" i="1"/>
  <c r="G178" i="1"/>
  <c r="G194" i="1"/>
  <c r="F194" i="1"/>
  <c r="E194" i="1"/>
  <c r="F241" i="1"/>
  <c r="G241" i="1" s="1"/>
  <c r="E241" i="1"/>
  <c r="F52" i="1"/>
  <c r="G52" i="1" s="1"/>
  <c r="F65" i="1"/>
  <c r="G65" i="1" s="1"/>
  <c r="E65" i="1"/>
  <c r="F170" i="1"/>
  <c r="G170" i="1" s="1"/>
  <c r="E178" i="1"/>
  <c r="E229" i="1"/>
  <c r="G233" i="1"/>
  <c r="F233" i="1"/>
  <c r="E233" i="1"/>
  <c r="G276" i="1"/>
  <c r="F276" i="1"/>
  <c r="E276" i="1"/>
  <c r="O283" i="1"/>
  <c r="K283" i="1"/>
  <c r="Q290" i="1"/>
  <c r="E290" i="1"/>
  <c r="R314" i="1"/>
  <c r="G327" i="1"/>
  <c r="E340" i="1"/>
  <c r="G340" i="1"/>
  <c r="F123" i="1"/>
  <c r="G123" i="1" s="1"/>
  <c r="E123" i="1"/>
  <c r="F126" i="1"/>
  <c r="G126" i="1" s="1"/>
  <c r="G129" i="1"/>
  <c r="Q292" i="1"/>
  <c r="R292" i="1" s="1"/>
  <c r="N292" i="1"/>
  <c r="E303" i="1"/>
  <c r="F303" i="1"/>
  <c r="G345" i="1"/>
  <c r="G365" i="1"/>
  <c r="J375" i="1"/>
  <c r="L375" i="1"/>
  <c r="I375" i="1"/>
  <c r="P375" i="1"/>
  <c r="E120" i="1"/>
  <c r="E126" i="1"/>
  <c r="E129" i="1"/>
  <c r="G156" i="1"/>
  <c r="E180" i="1"/>
  <c r="G212" i="1"/>
  <c r="M237" i="1"/>
  <c r="F249" i="1"/>
  <c r="G249" i="1" s="1"/>
  <c r="E249" i="1"/>
  <c r="P265" i="1"/>
  <c r="L265" i="1"/>
  <c r="J265" i="1"/>
  <c r="F286" i="1"/>
  <c r="G286" i="1" s="1"/>
  <c r="E288" i="1"/>
  <c r="M292" i="1"/>
  <c r="E297" i="1"/>
  <c r="G303" i="1"/>
  <c r="E320" i="1"/>
  <c r="F325" i="1"/>
  <c r="G325" i="1" s="1"/>
  <c r="E345" i="1"/>
  <c r="E365" i="1"/>
  <c r="H375" i="1"/>
  <c r="Q382" i="1"/>
  <c r="R382" i="1" s="1"/>
  <c r="N382" i="1"/>
  <c r="E108" i="1"/>
  <c r="G112" i="1"/>
  <c r="F112" i="1"/>
  <c r="G120" i="1"/>
  <c r="F129" i="1"/>
  <c r="E156" i="1"/>
  <c r="F180" i="1"/>
  <c r="G180" i="1" s="1"/>
  <c r="N237" i="1"/>
  <c r="H265" i="1"/>
  <c r="P284" i="1"/>
  <c r="R284" i="1" s="1"/>
  <c r="I284" i="1"/>
  <c r="H284" i="1"/>
  <c r="J284" i="1"/>
  <c r="E286" i="1"/>
  <c r="F288" i="1"/>
  <c r="G288" i="1" s="1"/>
  <c r="F297" i="1"/>
  <c r="G297" i="1" s="1"/>
  <c r="L299" i="1"/>
  <c r="P299" i="1"/>
  <c r="F320" i="1"/>
  <c r="G320" i="1" s="1"/>
  <c r="E325" i="1"/>
  <c r="F345" i="1"/>
  <c r="F365" i="1"/>
  <c r="M382" i="1"/>
  <c r="E385" i="1"/>
  <c r="L390" i="1"/>
  <c r="P390" i="1"/>
  <c r="J390" i="1"/>
  <c r="I390" i="1"/>
  <c r="H390" i="1"/>
  <c r="G59" i="1"/>
  <c r="N148" i="1"/>
  <c r="M148" i="1"/>
  <c r="F174" i="1"/>
  <c r="G174" i="1" s="1"/>
  <c r="E174" i="1"/>
  <c r="G188" i="1"/>
  <c r="N193" i="1"/>
  <c r="M193" i="1"/>
  <c r="F202" i="1"/>
  <c r="G202" i="1" s="1"/>
  <c r="G225" i="1"/>
  <c r="G255" i="1"/>
  <c r="J263" i="1"/>
  <c r="L263" i="1"/>
  <c r="I263" i="1"/>
  <c r="H263" i="1"/>
  <c r="I265" i="1"/>
  <c r="H299" i="1"/>
  <c r="F308" i="1"/>
  <c r="E308" i="1"/>
  <c r="G308" i="1"/>
  <c r="F385" i="1"/>
  <c r="G385" i="1" s="1"/>
  <c r="L310" i="1"/>
  <c r="I310" i="1"/>
  <c r="H310" i="1"/>
  <c r="P310" i="1"/>
  <c r="M351" i="1"/>
  <c r="Q351" i="1"/>
  <c r="N351" i="1"/>
  <c r="H366" i="1"/>
  <c r="P366" i="1"/>
  <c r="L366" i="1"/>
  <c r="J366" i="1"/>
  <c r="I366" i="1"/>
  <c r="F283" i="1"/>
  <c r="E283" i="1"/>
  <c r="G352" i="1"/>
  <c r="E375" i="1"/>
  <c r="R378" i="1"/>
  <c r="L238" i="1"/>
  <c r="J238" i="1"/>
  <c r="I238" i="1"/>
  <c r="O276" i="1"/>
  <c r="G278" i="1"/>
  <c r="K279" i="1"/>
  <c r="O279" i="1"/>
  <c r="G283" i="1"/>
  <c r="O286" i="1"/>
  <c r="J295" i="1"/>
  <c r="H295" i="1"/>
  <c r="F305" i="1"/>
  <c r="G305" i="1" s="1"/>
  <c r="E305" i="1"/>
  <c r="E352" i="1"/>
  <c r="F167" i="1"/>
  <c r="G167" i="1" s="1"/>
  <c r="E167" i="1"/>
  <c r="F228" i="1"/>
  <c r="G228" i="1" s="1"/>
  <c r="E228" i="1"/>
  <c r="F259" i="1"/>
  <c r="G259" i="1" s="1"/>
  <c r="E259" i="1"/>
  <c r="Q261" i="1"/>
  <c r="R261" i="1" s="1"/>
  <c r="E261" i="1"/>
  <c r="F269" i="1"/>
  <c r="G269" i="1" s="1"/>
  <c r="E269" i="1"/>
  <c r="Q287" i="1"/>
  <c r="E287" i="1"/>
  <c r="P295" i="1"/>
  <c r="L367" i="1"/>
  <c r="I367" i="1"/>
  <c r="H367" i="1"/>
  <c r="F200" i="1"/>
  <c r="E200" i="1"/>
  <c r="I237" i="1"/>
  <c r="H237" i="1"/>
  <c r="P238" i="1"/>
  <c r="E242" i="1"/>
  <c r="H254" i="1"/>
  <c r="E266" i="1"/>
  <c r="J273" i="1"/>
  <c r="I273" i="1"/>
  <c r="L273" i="1"/>
  <c r="H273" i="1"/>
  <c r="E275" i="1"/>
  <c r="L300" i="1"/>
  <c r="H386" i="1"/>
  <c r="L386" i="1"/>
  <c r="J386" i="1"/>
  <c r="I386" i="1"/>
  <c r="G133" i="1"/>
  <c r="F185" i="1"/>
  <c r="G185" i="1" s="1"/>
  <c r="G200" i="1"/>
  <c r="J237" i="1"/>
  <c r="I254" i="1"/>
  <c r="F266" i="1"/>
  <c r="G266" i="1" s="1"/>
  <c r="P287" i="1"/>
  <c r="H287" i="1"/>
  <c r="J292" i="1"/>
  <c r="F294" i="1"/>
  <c r="G294" i="1" s="1"/>
  <c r="P339" i="1"/>
  <c r="J339" i="1"/>
  <c r="H339" i="1"/>
  <c r="I341" i="1"/>
  <c r="P367" i="1"/>
  <c r="F239" i="1"/>
  <c r="E239" i="1"/>
  <c r="F244" i="1"/>
  <c r="G244" i="1" s="1"/>
  <c r="E244" i="1"/>
  <c r="K275" i="1"/>
  <c r="O275" i="1"/>
  <c r="G296" i="1"/>
  <c r="F296" i="1"/>
  <c r="P351" i="1"/>
  <c r="I351" i="1"/>
  <c r="H351" i="1"/>
  <c r="E18" i="1"/>
  <c r="E38" i="1"/>
  <c r="E58" i="1"/>
  <c r="E78" i="1"/>
  <c r="E98" i="1"/>
  <c r="E118" i="1"/>
  <c r="F141" i="1"/>
  <c r="G141" i="1" s="1"/>
  <c r="E145" i="1"/>
  <c r="E151" i="1"/>
  <c r="E191" i="1"/>
  <c r="O216" i="1"/>
  <c r="P237" i="1"/>
  <c r="G239" i="1"/>
  <c r="R254" i="1"/>
  <c r="R260" i="1"/>
  <c r="R280" i="1"/>
  <c r="O289" i="1"/>
  <c r="E296" i="1"/>
  <c r="J351" i="1"/>
  <c r="G374" i="1"/>
  <c r="F374" i="1"/>
  <c r="E374" i="1"/>
  <c r="M378" i="1"/>
  <c r="N378" i="1"/>
  <c r="E141" i="1"/>
  <c r="O142" i="1"/>
  <c r="G215" i="1"/>
  <c r="O282" i="1"/>
  <c r="G298" i="1"/>
  <c r="M349" i="1"/>
  <c r="H378" i="1"/>
  <c r="F271" i="1"/>
  <c r="G271" i="1" s="1"/>
  <c r="E271" i="1"/>
  <c r="G282" i="1"/>
  <c r="J290" i="1"/>
  <c r="I290" i="1"/>
  <c r="P290" i="1"/>
  <c r="P379" i="1"/>
  <c r="J379" i="1"/>
  <c r="I379" i="1"/>
  <c r="H379" i="1"/>
  <c r="L379" i="1"/>
  <c r="E383" i="1"/>
  <c r="F383" i="1"/>
  <c r="G383" i="1" s="1"/>
  <c r="F391" i="1"/>
  <c r="E391" i="1"/>
  <c r="E215" i="1"/>
  <c r="E274" i="1"/>
  <c r="G274" i="1"/>
  <c r="O280" i="1"/>
  <c r="K280" i="1"/>
  <c r="E282" i="1"/>
  <c r="H290" i="1"/>
  <c r="J302" i="1"/>
  <c r="I302" i="1"/>
  <c r="L302" i="1"/>
  <c r="P302" i="1"/>
  <c r="I324" i="1"/>
  <c r="L324" i="1"/>
  <c r="J324" i="1"/>
  <c r="L329" i="1"/>
  <c r="J329" i="1"/>
  <c r="I329" i="1"/>
  <c r="F335" i="1"/>
  <c r="G335" i="1" s="1"/>
  <c r="E335" i="1"/>
  <c r="E353" i="1"/>
  <c r="I362" i="1"/>
  <c r="H362" i="1"/>
  <c r="P362" i="1"/>
  <c r="L362" i="1"/>
  <c r="J362" i="1"/>
  <c r="G368" i="1"/>
  <c r="G391" i="1"/>
  <c r="E193" i="1"/>
  <c r="G201" i="1"/>
  <c r="E210" i="1"/>
  <c r="F215" i="1"/>
  <c r="E219" i="1"/>
  <c r="G224" i="1"/>
  <c r="F224" i="1"/>
  <c r="E236" i="1"/>
  <c r="F274" i="1"/>
  <c r="F282" i="1"/>
  <c r="E309" i="1"/>
  <c r="H324" i="1"/>
  <c r="H329" i="1"/>
  <c r="E333" i="1"/>
  <c r="F353" i="1"/>
  <c r="G372" i="1"/>
  <c r="P389" i="1"/>
  <c r="L389" i="1"/>
  <c r="J389" i="1"/>
  <c r="E265" i="1"/>
  <c r="F333" i="1"/>
  <c r="G333" i="1" s="1"/>
  <c r="E351" i="1"/>
  <c r="E372" i="1"/>
  <c r="H389" i="1"/>
  <c r="E317" i="1"/>
  <c r="F317" i="1"/>
  <c r="E328" i="1"/>
  <c r="F331" i="1"/>
  <c r="G331" i="1"/>
  <c r="F364" i="1"/>
  <c r="G364" i="1"/>
  <c r="E364" i="1"/>
  <c r="E216" i="1"/>
  <c r="E223" i="1"/>
  <c r="F301" i="1"/>
  <c r="G301" i="1"/>
  <c r="E301" i="1"/>
  <c r="G317" i="1"/>
  <c r="F328" i="1"/>
  <c r="G328" i="1" s="1"/>
  <c r="E331" i="1"/>
  <c r="E366" i="1"/>
  <c r="J369" i="1"/>
  <c r="I369" i="1"/>
  <c r="H369" i="1"/>
  <c r="E376" i="1"/>
  <c r="G230" i="1"/>
  <c r="F272" i="1"/>
  <c r="G272" i="1" s="1"/>
  <c r="E304" i="1"/>
  <c r="P314" i="1"/>
  <c r="H314" i="1"/>
  <c r="F344" i="1"/>
  <c r="G344" i="1"/>
  <c r="E344" i="1"/>
  <c r="L369" i="1"/>
  <c r="E371" i="1"/>
  <c r="F376" i="1"/>
  <c r="G376" i="1" s="1"/>
  <c r="G322" i="1"/>
  <c r="G355" i="1"/>
  <c r="G318" i="1"/>
  <c r="E343" i="1"/>
  <c r="F355" i="1"/>
  <c r="I361" i="1"/>
  <c r="F289" i="1"/>
  <c r="E289" i="1"/>
  <c r="E318" i="1"/>
  <c r="F343" i="1"/>
  <c r="G343" i="1" s="1"/>
  <c r="I349" i="1"/>
  <c r="J361" i="1"/>
  <c r="E370" i="1"/>
  <c r="F370" i="1"/>
  <c r="G370" i="1" s="1"/>
  <c r="G289" i="1"/>
  <c r="F318" i="1"/>
  <c r="G332" i="1"/>
  <c r="J349" i="1"/>
  <c r="E360" i="1"/>
  <c r="J382" i="1"/>
  <c r="I382" i="1"/>
  <c r="H382" i="1"/>
  <c r="E390" i="1"/>
  <c r="E350" i="1"/>
  <c r="E363" i="1"/>
  <c r="G393" i="1"/>
  <c r="E323" i="1"/>
  <c r="E387" i="1"/>
  <c r="E300" i="1"/>
  <c r="E315" i="1"/>
  <c r="F323" i="1"/>
  <c r="G342" i="1"/>
  <c r="E354" i="1"/>
  <c r="E368" i="1"/>
  <c r="E381" i="1"/>
  <c r="F387" i="1"/>
  <c r="G387" i="1" s="1"/>
  <c r="F392" i="1"/>
  <c r="G392" i="1" s="1"/>
  <c r="G323" i="1"/>
  <c r="F354" i="1"/>
  <c r="G354" i="1" s="1"/>
  <c r="F368" i="1"/>
  <c r="G381" i="1"/>
  <c r="E392" i="1"/>
  <c r="E361" i="1"/>
  <c r="E380" i="1"/>
  <c r="P162" i="1" l="1"/>
  <c r="H162" i="1"/>
  <c r="L162" i="1"/>
  <c r="J162" i="1"/>
  <c r="I162" i="1"/>
  <c r="P55" i="1"/>
  <c r="R55" i="1" s="1"/>
  <c r="J55" i="1"/>
  <c r="I55" i="1"/>
  <c r="H55" i="1"/>
  <c r="P251" i="1"/>
  <c r="R251" i="1" s="1"/>
  <c r="H251" i="1"/>
  <c r="J251" i="1"/>
  <c r="I251" i="1"/>
  <c r="I269" i="1"/>
  <c r="H269" i="1"/>
  <c r="J269" i="1"/>
  <c r="P269" i="1"/>
  <c r="L269" i="1"/>
  <c r="L387" i="1"/>
  <c r="I387" i="1"/>
  <c r="H387" i="1"/>
  <c r="P387" i="1"/>
  <c r="J387" i="1"/>
  <c r="J335" i="1"/>
  <c r="I335" i="1"/>
  <c r="H335" i="1"/>
  <c r="P335" i="1"/>
  <c r="L335" i="1"/>
  <c r="J385" i="1"/>
  <c r="P385" i="1"/>
  <c r="L385" i="1"/>
  <c r="H385" i="1"/>
  <c r="I385" i="1"/>
  <c r="P227" i="1"/>
  <c r="R227" i="1" s="1"/>
  <c r="J227" i="1"/>
  <c r="I227" i="1"/>
  <c r="H227" i="1"/>
  <c r="J180" i="1"/>
  <c r="I180" i="1"/>
  <c r="H180" i="1"/>
  <c r="P180" i="1"/>
  <c r="L180" i="1"/>
  <c r="J25" i="1"/>
  <c r="I25" i="1"/>
  <c r="H25" i="1"/>
  <c r="P25" i="1"/>
  <c r="R25" i="1" s="1"/>
  <c r="H285" i="1"/>
  <c r="J285" i="1"/>
  <c r="I285" i="1"/>
  <c r="P285" i="1"/>
  <c r="R285" i="1" s="1"/>
  <c r="H126" i="1"/>
  <c r="J126" i="1"/>
  <c r="I126" i="1"/>
  <c r="P126" i="1"/>
  <c r="R126" i="1" s="1"/>
  <c r="P65" i="1"/>
  <c r="R65" i="1" s="1"/>
  <c r="J65" i="1"/>
  <c r="I65" i="1"/>
  <c r="H65" i="1"/>
  <c r="J86" i="1"/>
  <c r="I86" i="1"/>
  <c r="H86" i="1"/>
  <c r="P86" i="1"/>
  <c r="R86" i="1" s="1"/>
  <c r="P293" i="1"/>
  <c r="L293" i="1"/>
  <c r="J293" i="1"/>
  <c r="I293" i="1"/>
  <c r="H293" i="1"/>
  <c r="P177" i="1"/>
  <c r="J177" i="1"/>
  <c r="I177" i="1"/>
  <c r="H177" i="1"/>
  <c r="L177" i="1"/>
  <c r="J105" i="1"/>
  <c r="I105" i="1"/>
  <c r="H105" i="1"/>
  <c r="P105" i="1"/>
  <c r="R105" i="1" s="1"/>
  <c r="J250" i="1"/>
  <c r="I250" i="1"/>
  <c r="H250" i="1"/>
  <c r="P250" i="1"/>
  <c r="R250" i="1" s="1"/>
  <c r="J218" i="1"/>
  <c r="I218" i="1"/>
  <c r="H218" i="1"/>
  <c r="P218" i="1"/>
  <c r="R218" i="1" s="1"/>
  <c r="P167" i="1"/>
  <c r="I167" i="1"/>
  <c r="H167" i="1"/>
  <c r="J167" i="1"/>
  <c r="L167" i="1"/>
  <c r="P257" i="1"/>
  <c r="J257" i="1"/>
  <c r="I257" i="1"/>
  <c r="H257" i="1"/>
  <c r="L257" i="1"/>
  <c r="J26" i="1"/>
  <c r="I26" i="1"/>
  <c r="H26" i="1"/>
  <c r="P26" i="1"/>
  <c r="R26" i="1" s="1"/>
  <c r="L161" i="1"/>
  <c r="J161" i="1"/>
  <c r="I161" i="1"/>
  <c r="H161" i="1"/>
  <c r="P161" i="1"/>
  <c r="H346" i="1"/>
  <c r="P346" i="1"/>
  <c r="L346" i="1"/>
  <c r="I346" i="1"/>
  <c r="J346" i="1"/>
  <c r="P115" i="1"/>
  <c r="R115" i="1" s="1"/>
  <c r="J115" i="1"/>
  <c r="I115" i="1"/>
  <c r="H115" i="1"/>
  <c r="P74" i="1"/>
  <c r="R74" i="1" s="1"/>
  <c r="H74" i="1"/>
  <c r="J74" i="1"/>
  <c r="I74" i="1"/>
  <c r="P81" i="1"/>
  <c r="R81" i="1" s="1"/>
  <c r="H81" i="1"/>
  <c r="I81" i="1"/>
  <c r="J81" i="1"/>
  <c r="P7" i="1"/>
  <c r="R7" i="1" s="1"/>
  <c r="J7" i="1"/>
  <c r="I7" i="1"/>
  <c r="H7" i="1"/>
  <c r="P376" i="1"/>
  <c r="H376" i="1"/>
  <c r="L376" i="1"/>
  <c r="J376" i="1"/>
  <c r="I376" i="1"/>
  <c r="P354" i="1"/>
  <c r="I354" i="1"/>
  <c r="J354" i="1"/>
  <c r="H354" i="1"/>
  <c r="L354" i="1"/>
  <c r="J128" i="1"/>
  <c r="I128" i="1"/>
  <c r="H128" i="1"/>
  <c r="P128" i="1"/>
  <c r="R128" i="1" s="1"/>
  <c r="P94" i="1"/>
  <c r="R94" i="1" s="1"/>
  <c r="I94" i="1"/>
  <c r="H94" i="1"/>
  <c r="J94" i="1"/>
  <c r="J294" i="1"/>
  <c r="P294" i="1"/>
  <c r="I294" i="1"/>
  <c r="H294" i="1"/>
  <c r="L294" i="1"/>
  <c r="J249" i="1"/>
  <c r="H249" i="1"/>
  <c r="L249" i="1"/>
  <c r="P249" i="1"/>
  <c r="I249" i="1"/>
  <c r="I116" i="1"/>
  <c r="H116" i="1"/>
  <c r="J116" i="1"/>
  <c r="P116" i="1"/>
  <c r="R116" i="1" s="1"/>
  <c r="J241" i="1"/>
  <c r="I241" i="1"/>
  <c r="H241" i="1"/>
  <c r="P241" i="1"/>
  <c r="L241" i="1"/>
  <c r="L320" i="1"/>
  <c r="J320" i="1"/>
  <c r="I320" i="1"/>
  <c r="H320" i="1"/>
  <c r="P320" i="1"/>
  <c r="H185" i="1"/>
  <c r="P185" i="1"/>
  <c r="R185" i="1" s="1"/>
  <c r="J185" i="1"/>
  <c r="I185" i="1"/>
  <c r="J143" i="1"/>
  <c r="P143" i="1"/>
  <c r="R143" i="1" s="1"/>
  <c r="I143" i="1"/>
  <c r="H143" i="1"/>
  <c r="L203" i="1"/>
  <c r="J203" i="1"/>
  <c r="P203" i="1"/>
  <c r="I203" i="1"/>
  <c r="H203" i="1"/>
  <c r="L270" i="1"/>
  <c r="P270" i="1"/>
  <c r="H270" i="1"/>
  <c r="J270" i="1"/>
  <c r="I270" i="1"/>
  <c r="P23" i="1"/>
  <c r="R23" i="1" s="1"/>
  <c r="H23" i="1"/>
  <c r="J23" i="1"/>
  <c r="I23" i="1"/>
  <c r="I159" i="1"/>
  <c r="H159" i="1"/>
  <c r="P159" i="1"/>
  <c r="R159" i="1" s="1"/>
  <c r="J159" i="1"/>
  <c r="J80" i="1"/>
  <c r="P80" i="1"/>
  <c r="R80" i="1" s="1"/>
  <c r="I80" i="1"/>
  <c r="H80" i="1"/>
  <c r="P15" i="1"/>
  <c r="R15" i="1" s="1"/>
  <c r="J15" i="1"/>
  <c r="I15" i="1"/>
  <c r="H15" i="1"/>
  <c r="P95" i="1"/>
  <c r="R95" i="1" s="1"/>
  <c r="J95" i="1"/>
  <c r="I95" i="1"/>
  <c r="H95" i="1"/>
  <c r="L170" i="1"/>
  <c r="H170" i="1"/>
  <c r="P170" i="1"/>
  <c r="J170" i="1"/>
  <c r="I170" i="1"/>
  <c r="P291" i="1"/>
  <c r="L291" i="1"/>
  <c r="I291" i="1"/>
  <c r="H291" i="1"/>
  <c r="J291" i="1"/>
  <c r="H12" i="1"/>
  <c r="J12" i="1"/>
  <c r="I12" i="1"/>
  <c r="P12" i="1"/>
  <c r="R12" i="1" s="1"/>
  <c r="H228" i="1"/>
  <c r="P228" i="1"/>
  <c r="J228" i="1"/>
  <c r="I228" i="1"/>
  <c r="L228" i="1"/>
  <c r="H272" i="1"/>
  <c r="P272" i="1"/>
  <c r="I272" i="1"/>
  <c r="L272" i="1"/>
  <c r="J272" i="1"/>
  <c r="H209" i="1"/>
  <c r="J209" i="1"/>
  <c r="I209" i="1"/>
  <c r="P209" i="1"/>
  <c r="R209" i="1" s="1"/>
  <c r="J245" i="1"/>
  <c r="I245" i="1"/>
  <c r="H245" i="1"/>
  <c r="P245" i="1"/>
  <c r="R245" i="1" s="1"/>
  <c r="I252" i="1"/>
  <c r="H252" i="1"/>
  <c r="P252" i="1"/>
  <c r="R252" i="1" s="1"/>
  <c r="J252" i="1"/>
  <c r="J202" i="1"/>
  <c r="I202" i="1"/>
  <c r="H202" i="1"/>
  <c r="P202" i="1"/>
  <c r="L202" i="1"/>
  <c r="P297" i="1"/>
  <c r="L297" i="1"/>
  <c r="I297" i="1"/>
  <c r="H297" i="1"/>
  <c r="J297" i="1"/>
  <c r="L196" i="1"/>
  <c r="J196" i="1"/>
  <c r="I196" i="1"/>
  <c r="H196" i="1"/>
  <c r="P196" i="1"/>
  <c r="J134" i="1"/>
  <c r="I134" i="1"/>
  <c r="H134" i="1"/>
  <c r="P134" i="1"/>
  <c r="R134" i="1" s="1"/>
  <c r="J13" i="1"/>
  <c r="I13" i="1"/>
  <c r="P13" i="1"/>
  <c r="R13" i="1" s="1"/>
  <c r="H13" i="1"/>
  <c r="P172" i="1"/>
  <c r="J172" i="1"/>
  <c r="I172" i="1"/>
  <c r="L172" i="1"/>
  <c r="H172" i="1"/>
  <c r="L337" i="1"/>
  <c r="P337" i="1"/>
  <c r="I337" i="1"/>
  <c r="J337" i="1"/>
  <c r="H337" i="1"/>
  <c r="J53" i="1"/>
  <c r="I53" i="1"/>
  <c r="H53" i="1"/>
  <c r="P53" i="1"/>
  <c r="R53" i="1" s="1"/>
  <c r="I217" i="1"/>
  <c r="H217" i="1"/>
  <c r="P217" i="1"/>
  <c r="R217" i="1" s="1"/>
  <c r="J217" i="1"/>
  <c r="P163" i="1"/>
  <c r="L163" i="1"/>
  <c r="J163" i="1"/>
  <c r="I163" i="1"/>
  <c r="H163" i="1"/>
  <c r="H29" i="1"/>
  <c r="P29" i="1"/>
  <c r="R29" i="1" s="1"/>
  <c r="J29" i="1"/>
  <c r="I29" i="1"/>
  <c r="H383" i="1"/>
  <c r="L383" i="1"/>
  <c r="P383" i="1"/>
  <c r="J383" i="1"/>
  <c r="I383" i="1"/>
  <c r="H240" i="1"/>
  <c r="J240" i="1"/>
  <c r="I240" i="1"/>
  <c r="P240" i="1"/>
  <c r="L240" i="1"/>
  <c r="L264" i="1"/>
  <c r="H264" i="1"/>
  <c r="P264" i="1"/>
  <c r="J264" i="1"/>
  <c r="I264" i="1"/>
  <c r="H52" i="1"/>
  <c r="P52" i="1"/>
  <c r="R52" i="1" s="1"/>
  <c r="J52" i="1"/>
  <c r="I52" i="1"/>
  <c r="L312" i="1"/>
  <c r="J312" i="1"/>
  <c r="I312" i="1"/>
  <c r="H312" i="1"/>
  <c r="P312" i="1"/>
  <c r="I206" i="1"/>
  <c r="H206" i="1"/>
  <c r="P206" i="1"/>
  <c r="R206" i="1" s="1"/>
  <c r="J206" i="1"/>
  <c r="I19" i="1"/>
  <c r="H19" i="1"/>
  <c r="P19" i="1"/>
  <c r="R19" i="1" s="1"/>
  <c r="J19" i="1"/>
  <c r="H333" i="1"/>
  <c r="P333" i="1"/>
  <c r="L333" i="1"/>
  <c r="J333" i="1"/>
  <c r="I333" i="1"/>
  <c r="P288" i="1"/>
  <c r="R288" i="1" s="1"/>
  <c r="I288" i="1"/>
  <c r="H288" i="1"/>
  <c r="J288" i="1"/>
  <c r="J325" i="1"/>
  <c r="H325" i="1"/>
  <c r="I325" i="1"/>
  <c r="L325" i="1"/>
  <c r="P325" i="1"/>
  <c r="I262" i="1"/>
  <c r="H262" i="1"/>
  <c r="J262" i="1"/>
  <c r="P262" i="1"/>
  <c r="L262" i="1"/>
  <c r="H10" i="1"/>
  <c r="P10" i="1"/>
  <c r="R10" i="1" s="1"/>
  <c r="J10" i="1"/>
  <c r="I10" i="1"/>
  <c r="J97" i="1"/>
  <c r="I97" i="1"/>
  <c r="H97" i="1"/>
  <c r="P97" i="1"/>
  <c r="R97" i="1" s="1"/>
  <c r="I39" i="1"/>
  <c r="H39" i="1"/>
  <c r="P39" i="1"/>
  <c r="R39" i="1" s="1"/>
  <c r="J39" i="1"/>
  <c r="P189" i="1"/>
  <c r="H189" i="1"/>
  <c r="I189" i="1"/>
  <c r="L189" i="1"/>
  <c r="J189" i="1"/>
  <c r="P311" i="1"/>
  <c r="I311" i="1"/>
  <c r="L311" i="1"/>
  <c r="J311" i="1"/>
  <c r="H311" i="1"/>
  <c r="H141" i="1"/>
  <c r="P141" i="1"/>
  <c r="R141" i="1" s="1"/>
  <c r="J141" i="1"/>
  <c r="I141" i="1"/>
  <c r="H392" i="1"/>
  <c r="P392" i="1"/>
  <c r="J392" i="1"/>
  <c r="L392" i="1"/>
  <c r="I392" i="1"/>
  <c r="I259" i="1"/>
  <c r="H259" i="1"/>
  <c r="L259" i="1"/>
  <c r="J259" i="1"/>
  <c r="P259" i="1"/>
  <c r="J73" i="1"/>
  <c r="I73" i="1"/>
  <c r="H73" i="1"/>
  <c r="P73" i="1"/>
  <c r="H62" i="1"/>
  <c r="P62" i="1"/>
  <c r="J62" i="1"/>
  <c r="I62" i="1"/>
  <c r="P266" i="1"/>
  <c r="L266" i="1"/>
  <c r="H266" i="1"/>
  <c r="J266" i="1"/>
  <c r="I266" i="1"/>
  <c r="P221" i="1"/>
  <c r="R221" i="1" s="1"/>
  <c r="H221" i="1"/>
  <c r="J221" i="1"/>
  <c r="I221" i="1"/>
  <c r="J207" i="1"/>
  <c r="I207" i="1"/>
  <c r="H207" i="1"/>
  <c r="P207" i="1"/>
  <c r="R207" i="1" s="1"/>
  <c r="J186" i="1"/>
  <c r="I186" i="1"/>
  <c r="H186" i="1"/>
  <c r="L186" i="1"/>
  <c r="P186" i="1"/>
  <c r="J220" i="1"/>
  <c r="I220" i="1"/>
  <c r="H220" i="1"/>
  <c r="P220" i="1"/>
  <c r="R220" i="1" s="1"/>
  <c r="P8" i="1"/>
  <c r="R8" i="1" s="1"/>
  <c r="J8" i="1"/>
  <c r="I8" i="1"/>
  <c r="H8" i="1"/>
  <c r="P181" i="1"/>
  <c r="H181" i="1"/>
  <c r="J181" i="1"/>
  <c r="L181" i="1"/>
  <c r="I181" i="1"/>
  <c r="J85" i="1"/>
  <c r="I85" i="1"/>
  <c r="H85" i="1"/>
  <c r="P85" i="1"/>
  <c r="R85" i="1" s="1"/>
  <c r="P102" i="1"/>
  <c r="R102" i="1" s="1"/>
  <c r="I102" i="1"/>
  <c r="H102" i="1"/>
  <c r="J102" i="1"/>
  <c r="P286" i="1"/>
  <c r="R286" i="1" s="1"/>
  <c r="J286" i="1"/>
  <c r="I286" i="1"/>
  <c r="H286" i="1"/>
  <c r="H316" i="1"/>
  <c r="P316" i="1"/>
  <c r="J316" i="1"/>
  <c r="I316" i="1"/>
  <c r="L316" i="1"/>
  <c r="H326" i="1"/>
  <c r="P326" i="1"/>
  <c r="L326" i="1"/>
  <c r="J326" i="1"/>
  <c r="I326" i="1"/>
  <c r="L370" i="1"/>
  <c r="P370" i="1"/>
  <c r="H370" i="1"/>
  <c r="I370" i="1"/>
  <c r="J370" i="1"/>
  <c r="J123" i="1"/>
  <c r="I123" i="1"/>
  <c r="H123" i="1"/>
  <c r="P123" i="1"/>
  <c r="R123" i="1" s="1"/>
  <c r="P70" i="1"/>
  <c r="R70" i="1" s="1"/>
  <c r="I70" i="1"/>
  <c r="H70" i="1"/>
  <c r="J70" i="1"/>
  <c r="P158" i="1"/>
  <c r="J158" i="1"/>
  <c r="I158" i="1"/>
  <c r="H158" i="1"/>
  <c r="L158" i="1"/>
  <c r="P45" i="1"/>
  <c r="R45" i="1" s="1"/>
  <c r="I45" i="1"/>
  <c r="H45" i="1"/>
  <c r="J45" i="1"/>
  <c r="H343" i="1"/>
  <c r="J343" i="1"/>
  <c r="I343" i="1"/>
  <c r="L343" i="1"/>
  <c r="P343" i="1"/>
  <c r="J305" i="1"/>
  <c r="P305" i="1"/>
  <c r="L305" i="1"/>
  <c r="I305" i="1"/>
  <c r="H305" i="1"/>
  <c r="P35" i="1"/>
  <c r="R35" i="1" s="1"/>
  <c r="H35" i="1"/>
  <c r="J35" i="1"/>
  <c r="I35" i="1"/>
  <c r="J328" i="1"/>
  <c r="L328" i="1"/>
  <c r="H328" i="1"/>
  <c r="P328" i="1"/>
  <c r="I328" i="1"/>
  <c r="I271" i="1"/>
  <c r="H271" i="1"/>
  <c r="L271" i="1"/>
  <c r="P271" i="1"/>
  <c r="J271" i="1"/>
  <c r="H244" i="1"/>
  <c r="J244" i="1"/>
  <c r="I244" i="1"/>
  <c r="P244" i="1"/>
  <c r="R244" i="1" s="1"/>
  <c r="L174" i="1"/>
  <c r="J174" i="1"/>
  <c r="P174" i="1"/>
  <c r="I174" i="1"/>
  <c r="H174" i="1"/>
  <c r="I79" i="1"/>
  <c r="H79" i="1"/>
  <c r="J79" i="1"/>
  <c r="P79" i="1"/>
  <c r="R79" i="1" s="1"/>
  <c r="J96" i="1"/>
  <c r="I96" i="1"/>
  <c r="H96" i="1"/>
  <c r="P96" i="1"/>
  <c r="R96" i="1" s="1"/>
  <c r="J253" i="1"/>
  <c r="I253" i="1"/>
  <c r="H253" i="1"/>
  <c r="P253" i="1"/>
  <c r="R253" i="1" s="1"/>
  <c r="H92" i="1"/>
  <c r="P92" i="1"/>
  <c r="R92" i="1" s="1"/>
  <c r="J92" i="1"/>
  <c r="I92" i="1"/>
  <c r="H32" i="1"/>
  <c r="J32" i="1"/>
  <c r="I32" i="1"/>
  <c r="P32" i="1"/>
  <c r="R32" i="1" s="1"/>
  <c r="I99" i="1"/>
  <c r="H99" i="1"/>
  <c r="J99" i="1"/>
  <c r="P99" i="1"/>
  <c r="R99" i="1" s="1"/>
  <c r="N336" i="1"/>
  <c r="M336" i="1"/>
  <c r="Q336" i="1"/>
  <c r="R336" i="1" s="1"/>
  <c r="P381" i="1"/>
  <c r="H381" i="1"/>
  <c r="J381" i="1"/>
  <c r="I381" i="1"/>
  <c r="L381" i="1"/>
  <c r="J283" i="1"/>
  <c r="I283" i="1"/>
  <c r="P283" i="1"/>
  <c r="R283" i="1" s="1"/>
  <c r="H283" i="1"/>
  <c r="K382" i="1"/>
  <c r="O382" i="1"/>
  <c r="H42" i="1"/>
  <c r="J42" i="1"/>
  <c r="I42" i="1"/>
  <c r="P42" i="1"/>
  <c r="R42" i="1" s="1"/>
  <c r="M152" i="1"/>
  <c r="N152" i="1"/>
  <c r="Q152" i="1"/>
  <c r="R152" i="1" s="1"/>
  <c r="H72" i="1"/>
  <c r="I72" i="1"/>
  <c r="P72" i="1"/>
  <c r="R72" i="1" s="1"/>
  <c r="J72" i="1"/>
  <c r="J121" i="1"/>
  <c r="P121" i="1"/>
  <c r="R121" i="1" s="1"/>
  <c r="I121" i="1"/>
  <c r="H121" i="1"/>
  <c r="O334" i="1"/>
  <c r="K334" i="1"/>
  <c r="R334" i="1"/>
  <c r="L318" i="1"/>
  <c r="J318" i="1"/>
  <c r="I318" i="1"/>
  <c r="P318" i="1"/>
  <c r="H318" i="1"/>
  <c r="H201" i="1"/>
  <c r="L201" i="1"/>
  <c r="J201" i="1"/>
  <c r="I201" i="1"/>
  <c r="P201" i="1"/>
  <c r="K193" i="1"/>
  <c r="O193" i="1"/>
  <c r="P129" i="1"/>
  <c r="R129" i="1" s="1"/>
  <c r="H129" i="1"/>
  <c r="J129" i="1"/>
  <c r="I129" i="1"/>
  <c r="L233" i="1"/>
  <c r="J233" i="1"/>
  <c r="I233" i="1"/>
  <c r="H233" i="1"/>
  <c r="P233" i="1"/>
  <c r="L149" i="1"/>
  <c r="P149" i="1"/>
  <c r="H149" i="1"/>
  <c r="J149" i="1"/>
  <c r="I149" i="1"/>
  <c r="L377" i="1"/>
  <c r="P377" i="1"/>
  <c r="J377" i="1"/>
  <c r="I377" i="1"/>
  <c r="H377" i="1"/>
  <c r="Q267" i="1"/>
  <c r="R267" i="1" s="1"/>
  <c r="M267" i="1"/>
  <c r="N267" i="1"/>
  <c r="P130" i="1"/>
  <c r="R130" i="1" s="1"/>
  <c r="H130" i="1"/>
  <c r="J130" i="1"/>
  <c r="I130" i="1"/>
  <c r="J195" i="1"/>
  <c r="I195" i="1"/>
  <c r="H195" i="1"/>
  <c r="P195" i="1"/>
  <c r="L195" i="1"/>
  <c r="N157" i="1"/>
  <c r="M157" i="1"/>
  <c r="Q157" i="1"/>
  <c r="R157" i="1" s="1"/>
  <c r="Q139" i="1"/>
  <c r="R139" i="1" s="1"/>
  <c r="M139" i="1"/>
  <c r="N139" i="1"/>
  <c r="Q169" i="1"/>
  <c r="R169" i="1" s="1"/>
  <c r="N169" i="1"/>
  <c r="M169" i="1"/>
  <c r="I150" i="1"/>
  <c r="H150" i="1"/>
  <c r="P150" i="1"/>
  <c r="L150" i="1"/>
  <c r="J150" i="1"/>
  <c r="N171" i="1"/>
  <c r="M171" i="1"/>
  <c r="Q171" i="1"/>
  <c r="R171" i="1" s="1"/>
  <c r="I192" i="1"/>
  <c r="H192" i="1"/>
  <c r="J192" i="1"/>
  <c r="P192" i="1"/>
  <c r="R192" i="1" s="1"/>
  <c r="K268" i="1"/>
  <c r="O268" i="1"/>
  <c r="N236" i="1"/>
  <c r="Q236" i="1"/>
  <c r="R236" i="1" s="1"/>
  <c r="M236" i="1"/>
  <c r="H353" i="1"/>
  <c r="P353" i="1"/>
  <c r="L353" i="1"/>
  <c r="J353" i="1"/>
  <c r="I353" i="1"/>
  <c r="J308" i="1"/>
  <c r="L308" i="1"/>
  <c r="I308" i="1"/>
  <c r="H308" i="1"/>
  <c r="P308" i="1"/>
  <c r="L327" i="1"/>
  <c r="I327" i="1"/>
  <c r="P327" i="1"/>
  <c r="J327" i="1"/>
  <c r="H327" i="1"/>
  <c r="Q258" i="1"/>
  <c r="R258" i="1" s="1"/>
  <c r="N258" i="1"/>
  <c r="M258" i="1"/>
  <c r="Q307" i="1"/>
  <c r="R307" i="1" s="1"/>
  <c r="M307" i="1"/>
  <c r="N307" i="1"/>
  <c r="P41" i="1"/>
  <c r="R41" i="1" s="1"/>
  <c r="J41" i="1"/>
  <c r="I41" i="1"/>
  <c r="H41" i="1"/>
  <c r="Q173" i="1"/>
  <c r="R173" i="1" s="1"/>
  <c r="N173" i="1"/>
  <c r="M173" i="1"/>
  <c r="J355" i="1"/>
  <c r="I355" i="1"/>
  <c r="H355" i="1"/>
  <c r="L355" i="1"/>
  <c r="P355" i="1"/>
  <c r="M229" i="1"/>
  <c r="Q229" i="1"/>
  <c r="R229" i="1" s="1"/>
  <c r="N229" i="1"/>
  <c r="J368" i="1"/>
  <c r="P368" i="1"/>
  <c r="L368" i="1"/>
  <c r="I368" i="1"/>
  <c r="H368" i="1"/>
  <c r="P296" i="1"/>
  <c r="L296" i="1"/>
  <c r="I296" i="1"/>
  <c r="H296" i="1"/>
  <c r="J296" i="1"/>
  <c r="J146" i="1"/>
  <c r="I146" i="1"/>
  <c r="H146" i="1"/>
  <c r="P146" i="1"/>
  <c r="L146" i="1"/>
  <c r="Q232" i="1"/>
  <c r="R232" i="1" s="1"/>
  <c r="M232" i="1"/>
  <c r="N232" i="1"/>
  <c r="N299" i="1"/>
  <c r="M299" i="1"/>
  <c r="Q299" i="1"/>
  <c r="R299" i="1" s="1"/>
  <c r="H323" i="1"/>
  <c r="J323" i="1"/>
  <c r="I323" i="1"/>
  <c r="P323" i="1"/>
  <c r="L323" i="1"/>
  <c r="L356" i="1"/>
  <c r="J356" i="1"/>
  <c r="P356" i="1"/>
  <c r="H356" i="1"/>
  <c r="I356" i="1"/>
  <c r="Q315" i="1"/>
  <c r="R315" i="1" s="1"/>
  <c r="N315" i="1"/>
  <c r="M315" i="1"/>
  <c r="Q362" i="1"/>
  <c r="R362" i="1" s="1"/>
  <c r="M362" i="1"/>
  <c r="N362" i="1"/>
  <c r="N319" i="1"/>
  <c r="M319" i="1"/>
  <c r="Q319" i="1"/>
  <c r="R319" i="1" s="1"/>
  <c r="J289" i="1"/>
  <c r="I289" i="1"/>
  <c r="H289" i="1"/>
  <c r="P289" i="1"/>
  <c r="R289" i="1" s="1"/>
  <c r="P340" i="1"/>
  <c r="L340" i="1"/>
  <c r="I340" i="1"/>
  <c r="J340" i="1"/>
  <c r="H340" i="1"/>
  <c r="J34" i="1"/>
  <c r="I34" i="1"/>
  <c r="P34" i="1"/>
  <c r="R34" i="1" s="1"/>
  <c r="H34" i="1"/>
  <c r="I175" i="1"/>
  <c r="H175" i="1"/>
  <c r="L175" i="1"/>
  <c r="J175" i="1"/>
  <c r="P175" i="1"/>
  <c r="P14" i="1"/>
  <c r="R14" i="1" s="1"/>
  <c r="J14" i="1"/>
  <c r="I14" i="1"/>
  <c r="H14" i="1"/>
  <c r="J256" i="1"/>
  <c r="P256" i="1"/>
  <c r="L256" i="1"/>
  <c r="I256" i="1"/>
  <c r="H256" i="1"/>
  <c r="N204" i="1"/>
  <c r="M204" i="1"/>
  <c r="Q204" i="1"/>
  <c r="R204" i="1" s="1"/>
  <c r="Q198" i="1"/>
  <c r="R198" i="1" s="1"/>
  <c r="N198" i="1"/>
  <c r="M198" i="1"/>
  <c r="Q313" i="1"/>
  <c r="R313" i="1" s="1"/>
  <c r="N313" i="1"/>
  <c r="M313" i="1"/>
  <c r="O380" i="1"/>
  <c r="K380" i="1"/>
  <c r="H281" i="1"/>
  <c r="P281" i="1"/>
  <c r="R281" i="1" s="1"/>
  <c r="J281" i="1"/>
  <c r="I281" i="1"/>
  <c r="P27" i="1"/>
  <c r="R27" i="1" s="1"/>
  <c r="J27" i="1"/>
  <c r="I27" i="1"/>
  <c r="H27" i="1"/>
  <c r="P374" i="1"/>
  <c r="I374" i="1"/>
  <c r="J374" i="1"/>
  <c r="H374" i="1"/>
  <c r="L374" i="1"/>
  <c r="P331" i="1"/>
  <c r="L331" i="1"/>
  <c r="H331" i="1"/>
  <c r="J331" i="1"/>
  <c r="I331" i="1"/>
  <c r="I231" i="1"/>
  <c r="L231" i="1"/>
  <c r="J231" i="1"/>
  <c r="P231" i="1"/>
  <c r="H231" i="1"/>
  <c r="P358" i="1"/>
  <c r="J358" i="1"/>
  <c r="L358" i="1"/>
  <c r="H358" i="1"/>
  <c r="I358" i="1"/>
  <c r="J114" i="1"/>
  <c r="P114" i="1"/>
  <c r="R114" i="1" s="1"/>
  <c r="I114" i="1"/>
  <c r="H114" i="1"/>
  <c r="L197" i="1"/>
  <c r="H197" i="1"/>
  <c r="J197" i="1"/>
  <c r="P197" i="1"/>
  <c r="I197" i="1"/>
  <c r="M226" i="1"/>
  <c r="Q226" i="1"/>
  <c r="R226" i="1" s="1"/>
  <c r="N226" i="1"/>
  <c r="N304" i="1"/>
  <c r="M304" i="1"/>
  <c r="Q304" i="1"/>
  <c r="R304" i="1" s="1"/>
  <c r="M348" i="1"/>
  <c r="Q348" i="1"/>
  <c r="R348" i="1" s="1"/>
  <c r="N348" i="1"/>
  <c r="N248" i="1"/>
  <c r="M248" i="1"/>
  <c r="Q248" i="1"/>
  <c r="R248" i="1" s="1"/>
  <c r="I322" i="1"/>
  <c r="H322" i="1"/>
  <c r="L322" i="1"/>
  <c r="P322" i="1"/>
  <c r="J322" i="1"/>
  <c r="I168" i="1"/>
  <c r="H168" i="1"/>
  <c r="L168" i="1"/>
  <c r="P168" i="1"/>
  <c r="J168" i="1"/>
  <c r="N359" i="1"/>
  <c r="M359" i="1"/>
  <c r="Q359" i="1"/>
  <c r="R359" i="1" s="1"/>
  <c r="P372" i="1"/>
  <c r="L372" i="1"/>
  <c r="H372" i="1"/>
  <c r="I372" i="1"/>
  <c r="J372" i="1"/>
  <c r="L135" i="1"/>
  <c r="P135" i="1"/>
  <c r="J135" i="1"/>
  <c r="I135" i="1"/>
  <c r="H135" i="1"/>
  <c r="P48" i="1"/>
  <c r="R48" i="1" s="1"/>
  <c r="J48" i="1"/>
  <c r="I48" i="1"/>
  <c r="H48" i="1"/>
  <c r="M151" i="1"/>
  <c r="Q151" i="1"/>
  <c r="R151" i="1" s="1"/>
  <c r="N151" i="1"/>
  <c r="N367" i="1"/>
  <c r="M367" i="1"/>
  <c r="Q367" i="1"/>
  <c r="R367" i="1" s="1"/>
  <c r="P298" i="1"/>
  <c r="J298" i="1"/>
  <c r="I298" i="1"/>
  <c r="H298" i="1"/>
  <c r="L298" i="1"/>
  <c r="H77" i="1"/>
  <c r="P77" i="1"/>
  <c r="R77" i="1" s="1"/>
  <c r="J77" i="1"/>
  <c r="I77" i="1"/>
  <c r="P215" i="1"/>
  <c r="R215" i="1" s="1"/>
  <c r="I215" i="1"/>
  <c r="H215" i="1"/>
  <c r="J215" i="1"/>
  <c r="Q300" i="1"/>
  <c r="R300" i="1" s="1"/>
  <c r="M300" i="1"/>
  <c r="N300" i="1"/>
  <c r="M366" i="1"/>
  <c r="Q366" i="1"/>
  <c r="R366" i="1" s="1"/>
  <c r="N366" i="1"/>
  <c r="H120" i="1"/>
  <c r="I120" i="1"/>
  <c r="J120" i="1"/>
  <c r="P120" i="1"/>
  <c r="R120" i="1" s="1"/>
  <c r="M265" i="1"/>
  <c r="N265" i="1"/>
  <c r="Q265" i="1"/>
  <c r="R265" i="1" s="1"/>
  <c r="Q373" i="1"/>
  <c r="R373" i="1" s="1"/>
  <c r="N373" i="1"/>
  <c r="M373" i="1"/>
  <c r="R309" i="1"/>
  <c r="Q213" i="1"/>
  <c r="R213" i="1" s="1"/>
  <c r="M213" i="1"/>
  <c r="N213" i="1"/>
  <c r="L137" i="1"/>
  <c r="P137" i="1"/>
  <c r="J137" i="1"/>
  <c r="I137" i="1"/>
  <c r="H137" i="1"/>
  <c r="P9" i="1"/>
  <c r="R9" i="1" s="1"/>
  <c r="J9" i="1"/>
  <c r="I9" i="1"/>
  <c r="H9" i="1"/>
  <c r="Q234" i="1"/>
  <c r="R234" i="1" s="1"/>
  <c r="N234" i="1"/>
  <c r="M234" i="1"/>
  <c r="Q144" i="1"/>
  <c r="R144" i="1" s="1"/>
  <c r="N144" i="1"/>
  <c r="M144" i="1"/>
  <c r="L188" i="1"/>
  <c r="I188" i="1"/>
  <c r="H188" i="1"/>
  <c r="J188" i="1"/>
  <c r="P188" i="1"/>
  <c r="L330" i="1"/>
  <c r="I330" i="1"/>
  <c r="H330" i="1"/>
  <c r="P330" i="1"/>
  <c r="J330" i="1"/>
  <c r="P391" i="1"/>
  <c r="L391" i="1"/>
  <c r="J391" i="1"/>
  <c r="I391" i="1"/>
  <c r="H391" i="1"/>
  <c r="I156" i="1"/>
  <c r="H156" i="1"/>
  <c r="P156" i="1"/>
  <c r="L156" i="1"/>
  <c r="J156" i="1"/>
  <c r="H301" i="1"/>
  <c r="I301" i="1"/>
  <c r="J301" i="1"/>
  <c r="L301" i="1"/>
  <c r="P301" i="1"/>
  <c r="H87" i="1"/>
  <c r="P87" i="1"/>
  <c r="R87" i="1" s="1"/>
  <c r="J87" i="1"/>
  <c r="I87" i="1"/>
  <c r="I59" i="1"/>
  <c r="H59" i="1"/>
  <c r="J59" i="1"/>
  <c r="P59" i="1"/>
  <c r="R59" i="1" s="1"/>
  <c r="P43" i="1"/>
  <c r="R43" i="1" s="1"/>
  <c r="J43" i="1"/>
  <c r="I43" i="1"/>
  <c r="H43" i="1"/>
  <c r="M350" i="1"/>
  <c r="Q350" i="1"/>
  <c r="R350" i="1" s="1"/>
  <c r="N350" i="1"/>
  <c r="J239" i="1"/>
  <c r="I239" i="1"/>
  <c r="P239" i="1"/>
  <c r="H239" i="1"/>
  <c r="L239" i="1"/>
  <c r="I133" i="1"/>
  <c r="H133" i="1"/>
  <c r="L133" i="1"/>
  <c r="J133" i="1"/>
  <c r="P133" i="1"/>
  <c r="Q375" i="1"/>
  <c r="R375" i="1" s="1"/>
  <c r="M375" i="1"/>
  <c r="N375" i="1"/>
  <c r="M187" i="1"/>
  <c r="N187" i="1"/>
  <c r="Q187" i="1"/>
  <c r="R187" i="1" s="1"/>
  <c r="J365" i="1"/>
  <c r="L365" i="1"/>
  <c r="P365" i="1"/>
  <c r="I365" i="1"/>
  <c r="H365" i="1"/>
  <c r="P393" i="1"/>
  <c r="H393" i="1"/>
  <c r="L393" i="1"/>
  <c r="J393" i="1"/>
  <c r="I393" i="1"/>
  <c r="R287" i="1"/>
  <c r="H255" i="1"/>
  <c r="L255" i="1"/>
  <c r="J255" i="1"/>
  <c r="I255" i="1"/>
  <c r="P255" i="1"/>
  <c r="Q360" i="1"/>
  <c r="R360" i="1" s="1"/>
  <c r="N360" i="1"/>
  <c r="M360" i="1"/>
  <c r="R295" i="1"/>
  <c r="R73" i="1"/>
  <c r="Q347" i="1"/>
  <c r="R347" i="1" s="1"/>
  <c r="N347" i="1"/>
  <c r="M347" i="1"/>
  <c r="M302" i="1"/>
  <c r="N302" i="1"/>
  <c r="Q302" i="1"/>
  <c r="R302" i="1" s="1"/>
  <c r="H306" i="1"/>
  <c r="P306" i="1"/>
  <c r="L306" i="1"/>
  <c r="J306" i="1"/>
  <c r="I306" i="1"/>
  <c r="M310" i="1"/>
  <c r="Q310" i="1"/>
  <c r="R310" i="1" s="1"/>
  <c r="N310" i="1"/>
  <c r="P332" i="1"/>
  <c r="L332" i="1"/>
  <c r="J332" i="1"/>
  <c r="H332" i="1"/>
  <c r="I332" i="1"/>
  <c r="I282" i="1"/>
  <c r="H282" i="1"/>
  <c r="P282" i="1"/>
  <c r="R282" i="1" s="1"/>
  <c r="J282" i="1"/>
  <c r="Q238" i="1"/>
  <c r="R238" i="1" s="1"/>
  <c r="N238" i="1"/>
  <c r="M238" i="1"/>
  <c r="H303" i="1"/>
  <c r="L303" i="1"/>
  <c r="J303" i="1"/>
  <c r="I303" i="1"/>
  <c r="P303" i="1"/>
  <c r="J274" i="1"/>
  <c r="P274" i="1"/>
  <c r="R274" i="1" s="1"/>
  <c r="H274" i="1"/>
  <c r="I274" i="1"/>
  <c r="I364" i="1"/>
  <c r="P364" i="1"/>
  <c r="J364" i="1"/>
  <c r="H364" i="1"/>
  <c r="L364" i="1"/>
  <c r="Q321" i="1"/>
  <c r="R321" i="1" s="1"/>
  <c r="M321" i="1"/>
  <c r="N321" i="1"/>
  <c r="O214" i="1"/>
  <c r="K214" i="1"/>
  <c r="N242" i="1"/>
  <c r="M242" i="1"/>
  <c r="Q242" i="1"/>
  <c r="R242" i="1" s="1"/>
  <c r="R290" i="1"/>
  <c r="Q386" i="1"/>
  <c r="R386" i="1" s="1"/>
  <c r="M386" i="1"/>
  <c r="N386" i="1"/>
  <c r="N329" i="1"/>
  <c r="M329" i="1"/>
  <c r="Q329" i="1"/>
  <c r="R329" i="1" s="1"/>
  <c r="P225" i="1"/>
  <c r="J225" i="1"/>
  <c r="I225" i="1"/>
  <c r="H225" i="1"/>
  <c r="L225" i="1"/>
  <c r="H112" i="1"/>
  <c r="P112" i="1"/>
  <c r="R112" i="1" s="1"/>
  <c r="J112" i="1"/>
  <c r="I112" i="1"/>
  <c r="O292" i="1"/>
  <c r="K292" i="1"/>
  <c r="P276" i="1"/>
  <c r="R276" i="1" s="1"/>
  <c r="H276" i="1"/>
  <c r="I276" i="1"/>
  <c r="J276" i="1"/>
  <c r="H194" i="1"/>
  <c r="L194" i="1"/>
  <c r="P194" i="1"/>
  <c r="I194" i="1"/>
  <c r="J194" i="1"/>
  <c r="M371" i="1"/>
  <c r="Q371" i="1"/>
  <c r="R371" i="1" s="1"/>
  <c r="N371" i="1"/>
  <c r="P155" i="1"/>
  <c r="L155" i="1"/>
  <c r="J155" i="1"/>
  <c r="I155" i="1"/>
  <c r="H155" i="1"/>
  <c r="K309" i="1"/>
  <c r="O309" i="1"/>
  <c r="P154" i="1"/>
  <c r="L154" i="1"/>
  <c r="J154" i="1"/>
  <c r="I154" i="1"/>
  <c r="H154" i="1"/>
  <c r="M363" i="1"/>
  <c r="Q363" i="1"/>
  <c r="R363" i="1" s="1"/>
  <c r="N363" i="1"/>
  <c r="P22" i="1"/>
  <c r="R22" i="1" s="1"/>
  <c r="J22" i="1"/>
  <c r="I22" i="1"/>
  <c r="H22" i="1"/>
  <c r="O138" i="1"/>
  <c r="K138" i="1"/>
  <c r="P212" i="1"/>
  <c r="I212" i="1"/>
  <c r="H212" i="1"/>
  <c r="L212" i="1"/>
  <c r="J212" i="1"/>
  <c r="P136" i="1"/>
  <c r="R136" i="1" s="1"/>
  <c r="J136" i="1"/>
  <c r="I136" i="1"/>
  <c r="H136" i="1"/>
  <c r="P338" i="1"/>
  <c r="I338" i="1"/>
  <c r="H338" i="1"/>
  <c r="L338" i="1"/>
  <c r="J338" i="1"/>
  <c r="H278" i="1"/>
  <c r="J278" i="1"/>
  <c r="I278" i="1"/>
  <c r="P278" i="1"/>
  <c r="R278" i="1" s="1"/>
  <c r="K191" i="1"/>
  <c r="O191" i="1"/>
  <c r="Q147" i="1"/>
  <c r="R147" i="1" s="1"/>
  <c r="N147" i="1"/>
  <c r="M147" i="1"/>
  <c r="N389" i="1"/>
  <c r="M389" i="1"/>
  <c r="Q389" i="1"/>
  <c r="R389" i="1" s="1"/>
  <c r="N223" i="1"/>
  <c r="M223" i="1"/>
  <c r="Q223" i="1"/>
  <c r="R223" i="1" s="1"/>
  <c r="L200" i="1"/>
  <c r="I200" i="1"/>
  <c r="H200" i="1"/>
  <c r="P200" i="1"/>
  <c r="J200" i="1"/>
  <c r="O199" i="1"/>
  <c r="K199" i="1"/>
  <c r="L352" i="1"/>
  <c r="J352" i="1"/>
  <c r="H352" i="1"/>
  <c r="P352" i="1"/>
  <c r="I352" i="1"/>
  <c r="J345" i="1"/>
  <c r="P345" i="1"/>
  <c r="I345" i="1"/>
  <c r="L345" i="1"/>
  <c r="H345" i="1"/>
  <c r="P230" i="1"/>
  <c r="I230" i="1"/>
  <c r="H230" i="1"/>
  <c r="L230" i="1"/>
  <c r="J230" i="1"/>
  <c r="Q390" i="1"/>
  <c r="R390" i="1" s="1"/>
  <c r="N390" i="1"/>
  <c r="M390" i="1"/>
  <c r="Q176" i="1"/>
  <c r="R176" i="1" s="1"/>
  <c r="N176" i="1"/>
  <c r="M176" i="1"/>
  <c r="Q357" i="1"/>
  <c r="R357" i="1" s="1"/>
  <c r="N357" i="1"/>
  <c r="M357" i="1"/>
  <c r="O378" i="1"/>
  <c r="K378" i="1"/>
  <c r="O351" i="1"/>
  <c r="K351" i="1"/>
  <c r="I178" i="1"/>
  <c r="H178" i="1"/>
  <c r="P178" i="1"/>
  <c r="L178" i="1"/>
  <c r="J178" i="1"/>
  <c r="O295" i="1"/>
  <c r="K295" i="1"/>
  <c r="J56" i="1"/>
  <c r="I56" i="1"/>
  <c r="H56" i="1"/>
  <c r="P56" i="1"/>
  <c r="R56" i="1" s="1"/>
  <c r="Q145" i="1"/>
  <c r="R145" i="1" s="1"/>
  <c r="N145" i="1"/>
  <c r="M145" i="1"/>
  <c r="I16" i="1"/>
  <c r="H16" i="1"/>
  <c r="P16" i="1"/>
  <c r="R16" i="1" s="1"/>
  <c r="J16" i="1"/>
  <c r="M388" i="1"/>
  <c r="N388" i="1"/>
  <c r="Q388" i="1"/>
  <c r="R388" i="1" s="1"/>
  <c r="K339" i="1"/>
  <c r="O339" i="1"/>
  <c r="I384" i="1"/>
  <c r="P384" i="1"/>
  <c r="L384" i="1"/>
  <c r="J384" i="1"/>
  <c r="H384" i="1"/>
  <c r="P82" i="1"/>
  <c r="R82" i="1" s="1"/>
  <c r="J82" i="1"/>
  <c r="I82" i="1"/>
  <c r="H82" i="1"/>
  <c r="L317" i="1"/>
  <c r="J317" i="1"/>
  <c r="I317" i="1"/>
  <c r="H317" i="1"/>
  <c r="P317" i="1"/>
  <c r="N369" i="1"/>
  <c r="Q369" i="1"/>
  <c r="R369" i="1" s="1"/>
  <c r="M369" i="1"/>
  <c r="P90" i="1"/>
  <c r="R90" i="1" s="1"/>
  <c r="H90" i="1"/>
  <c r="J90" i="1"/>
  <c r="I90" i="1"/>
  <c r="O148" i="1"/>
  <c r="K148" i="1"/>
  <c r="H165" i="1"/>
  <c r="P165" i="1"/>
  <c r="J165" i="1"/>
  <c r="L165" i="1"/>
  <c r="I165" i="1"/>
  <c r="I344" i="1"/>
  <c r="L344" i="1"/>
  <c r="J344" i="1"/>
  <c r="P344" i="1"/>
  <c r="H344" i="1"/>
  <c r="R62" i="1"/>
  <c r="L342" i="1"/>
  <c r="J342" i="1"/>
  <c r="I342" i="1"/>
  <c r="H342" i="1"/>
  <c r="P342" i="1"/>
  <c r="I247" i="1"/>
  <c r="H247" i="1"/>
  <c r="P247" i="1"/>
  <c r="R247" i="1" s="1"/>
  <c r="J247" i="1"/>
  <c r="Q190" i="1"/>
  <c r="R190" i="1" s="1"/>
  <c r="N190" i="1"/>
  <c r="M190" i="1"/>
  <c r="Q235" i="1"/>
  <c r="R235" i="1" s="1"/>
  <c r="N235" i="1"/>
  <c r="M235" i="1"/>
  <c r="O237" i="1"/>
  <c r="K237" i="1"/>
  <c r="N263" i="1"/>
  <c r="M263" i="1"/>
  <c r="Q263" i="1"/>
  <c r="R263" i="1" s="1"/>
  <c r="Q222" i="1"/>
  <c r="R222" i="1" s="1"/>
  <c r="N222" i="1"/>
  <c r="M222" i="1"/>
  <c r="H5" i="1"/>
  <c r="P5" i="1"/>
  <c r="R5" i="1" s="1"/>
  <c r="J5" i="1"/>
  <c r="I5" i="1"/>
  <c r="H224" i="1"/>
  <c r="L224" i="1"/>
  <c r="P224" i="1"/>
  <c r="J224" i="1"/>
  <c r="I224" i="1"/>
  <c r="N379" i="1"/>
  <c r="Q379" i="1"/>
  <c r="R379" i="1" s="1"/>
  <c r="M379" i="1"/>
  <c r="M324" i="1"/>
  <c r="Q324" i="1"/>
  <c r="R324" i="1" s="1"/>
  <c r="N324" i="1"/>
  <c r="M273" i="1"/>
  <c r="Q273" i="1"/>
  <c r="R273" i="1" s="1"/>
  <c r="N273" i="1"/>
  <c r="R351" i="1"/>
  <c r="O341" i="1"/>
  <c r="K341" i="1"/>
  <c r="Q164" i="1"/>
  <c r="R164" i="1" s="1"/>
  <c r="N164" i="1"/>
  <c r="M164" i="1"/>
  <c r="J6" i="1"/>
  <c r="I6" i="1"/>
  <c r="H6" i="1"/>
  <c r="P6" i="1"/>
  <c r="R6" i="1" s="1"/>
  <c r="I3" i="1"/>
  <c r="H3" i="1"/>
  <c r="P3" i="1"/>
  <c r="R3" i="1" s="1"/>
  <c r="J3" i="1"/>
  <c r="J109" i="1"/>
  <c r="P109" i="1"/>
  <c r="R109" i="1" s="1"/>
  <c r="I109" i="1"/>
  <c r="H109" i="1"/>
  <c r="Q160" i="1"/>
  <c r="R160" i="1" s="1"/>
  <c r="M160" i="1"/>
  <c r="N160" i="1"/>
  <c r="O265" i="1" l="1"/>
  <c r="K265" i="1"/>
  <c r="O234" i="1"/>
  <c r="K234" i="1"/>
  <c r="K348" i="1"/>
  <c r="O348" i="1"/>
  <c r="M358" i="1"/>
  <c r="Q358" i="1"/>
  <c r="R358" i="1" s="1"/>
  <c r="N358" i="1"/>
  <c r="K139" i="1"/>
  <c r="O139" i="1"/>
  <c r="K336" i="1"/>
  <c r="O336" i="1"/>
  <c r="N269" i="1"/>
  <c r="M269" i="1"/>
  <c r="Q269" i="1"/>
  <c r="R269" i="1" s="1"/>
  <c r="K248" i="1"/>
  <c r="O248" i="1"/>
  <c r="Q387" i="1"/>
  <c r="R387" i="1" s="1"/>
  <c r="N387" i="1"/>
  <c r="M387" i="1"/>
  <c r="K324" i="1"/>
  <c r="O324" i="1"/>
  <c r="K263" i="1"/>
  <c r="O263" i="1"/>
  <c r="O357" i="1"/>
  <c r="K357" i="1"/>
  <c r="K371" i="1"/>
  <c r="O371" i="1"/>
  <c r="K187" i="1"/>
  <c r="O187" i="1"/>
  <c r="M368" i="1"/>
  <c r="Q368" i="1"/>
  <c r="R368" i="1" s="1"/>
  <c r="N368" i="1"/>
  <c r="K152" i="1"/>
  <c r="O152" i="1"/>
  <c r="Q189" i="1"/>
  <c r="R189" i="1" s="1"/>
  <c r="N189" i="1"/>
  <c r="M189" i="1"/>
  <c r="M354" i="1"/>
  <c r="N354" i="1"/>
  <c r="Q354" i="1"/>
  <c r="R354" i="1" s="1"/>
  <c r="N257" i="1"/>
  <c r="M257" i="1"/>
  <c r="Q257" i="1"/>
  <c r="R257" i="1" s="1"/>
  <c r="Q365" i="1"/>
  <c r="R365" i="1" s="1"/>
  <c r="M365" i="1"/>
  <c r="N365" i="1"/>
  <c r="Q270" i="1"/>
  <c r="R270" i="1" s="1"/>
  <c r="M270" i="1"/>
  <c r="N270" i="1"/>
  <c r="K145" i="1"/>
  <c r="O145" i="1"/>
  <c r="M391" i="1"/>
  <c r="Q391" i="1"/>
  <c r="R391" i="1" s="1"/>
  <c r="N391" i="1"/>
  <c r="K147" i="1"/>
  <c r="O147" i="1"/>
  <c r="Q155" i="1"/>
  <c r="R155" i="1" s="1"/>
  <c r="N155" i="1"/>
  <c r="M155" i="1"/>
  <c r="M194" i="1"/>
  <c r="Q194" i="1"/>
  <c r="R194" i="1" s="1"/>
  <c r="N194" i="1"/>
  <c r="Q392" i="1"/>
  <c r="R392" i="1" s="1"/>
  <c r="N392" i="1"/>
  <c r="M392" i="1"/>
  <c r="Q196" i="1"/>
  <c r="R196" i="1" s="1"/>
  <c r="N196" i="1"/>
  <c r="M196" i="1"/>
  <c r="M291" i="1"/>
  <c r="Q291" i="1"/>
  <c r="R291" i="1" s="1"/>
  <c r="N291" i="1"/>
  <c r="Q385" i="1"/>
  <c r="R385" i="1" s="1"/>
  <c r="M385" i="1"/>
  <c r="N385" i="1"/>
  <c r="K190" i="1"/>
  <c r="O190" i="1"/>
  <c r="N133" i="1"/>
  <c r="M133" i="1"/>
  <c r="Q133" i="1"/>
  <c r="R133" i="1" s="1"/>
  <c r="O300" i="1"/>
  <c r="K300" i="1"/>
  <c r="M175" i="1"/>
  <c r="Q175" i="1"/>
  <c r="R175" i="1" s="1"/>
  <c r="N175" i="1"/>
  <c r="Q355" i="1"/>
  <c r="R355" i="1" s="1"/>
  <c r="M355" i="1"/>
  <c r="N355" i="1"/>
  <c r="M318" i="1"/>
  <c r="N318" i="1"/>
  <c r="Q318" i="1"/>
  <c r="R318" i="1" s="1"/>
  <c r="Q312" i="1"/>
  <c r="R312" i="1" s="1"/>
  <c r="N312" i="1"/>
  <c r="M312" i="1"/>
  <c r="N249" i="1"/>
  <c r="M249" i="1"/>
  <c r="Q249" i="1"/>
  <c r="R249" i="1" s="1"/>
  <c r="K273" i="1"/>
  <c r="O273" i="1"/>
  <c r="K236" i="1"/>
  <c r="O236" i="1"/>
  <c r="M328" i="1"/>
  <c r="N328" i="1"/>
  <c r="Q328" i="1"/>
  <c r="R328" i="1" s="1"/>
  <c r="N344" i="1"/>
  <c r="M344" i="1"/>
  <c r="Q344" i="1"/>
  <c r="R344" i="1" s="1"/>
  <c r="O379" i="1"/>
  <c r="K379" i="1"/>
  <c r="K363" i="1"/>
  <c r="O363" i="1"/>
  <c r="K386" i="1"/>
  <c r="O386" i="1"/>
  <c r="K151" i="1"/>
  <c r="O151" i="1"/>
  <c r="N174" i="1"/>
  <c r="M174" i="1"/>
  <c r="Q174" i="1"/>
  <c r="R174" i="1" s="1"/>
  <c r="N337" i="1"/>
  <c r="M337" i="1"/>
  <c r="Q337" i="1"/>
  <c r="R337" i="1" s="1"/>
  <c r="N224" i="1"/>
  <c r="M224" i="1"/>
  <c r="Q224" i="1"/>
  <c r="R224" i="1" s="1"/>
  <c r="Q384" i="1"/>
  <c r="R384" i="1" s="1"/>
  <c r="M384" i="1"/>
  <c r="N384" i="1"/>
  <c r="N230" i="1"/>
  <c r="M230" i="1"/>
  <c r="Q230" i="1"/>
  <c r="R230" i="1" s="1"/>
  <c r="N200" i="1"/>
  <c r="M200" i="1"/>
  <c r="Q200" i="1"/>
  <c r="R200" i="1" s="1"/>
  <c r="M306" i="1"/>
  <c r="N306" i="1"/>
  <c r="Q306" i="1"/>
  <c r="R306" i="1" s="1"/>
  <c r="N330" i="1"/>
  <c r="M330" i="1"/>
  <c r="Q330" i="1"/>
  <c r="R330" i="1" s="1"/>
  <c r="Q137" i="1"/>
  <c r="R137" i="1" s="1"/>
  <c r="M137" i="1"/>
  <c r="N137" i="1"/>
  <c r="M305" i="1"/>
  <c r="N305" i="1"/>
  <c r="Q305" i="1"/>
  <c r="R305" i="1" s="1"/>
  <c r="Q335" i="1"/>
  <c r="R335" i="1" s="1"/>
  <c r="N335" i="1"/>
  <c r="M335" i="1"/>
  <c r="Q364" i="1"/>
  <c r="R364" i="1" s="1"/>
  <c r="N364" i="1"/>
  <c r="M364" i="1"/>
  <c r="M225" i="1"/>
  <c r="Q225" i="1"/>
  <c r="R225" i="1" s="1"/>
  <c r="N225" i="1"/>
  <c r="K375" i="1"/>
  <c r="O375" i="1"/>
  <c r="N203" i="1"/>
  <c r="M203" i="1"/>
  <c r="Q203" i="1"/>
  <c r="R203" i="1" s="1"/>
  <c r="K176" i="1"/>
  <c r="O176" i="1"/>
  <c r="O319" i="1"/>
  <c r="K319" i="1"/>
  <c r="Q149" i="1"/>
  <c r="R149" i="1" s="1"/>
  <c r="N149" i="1"/>
  <c r="M149" i="1"/>
  <c r="Q154" i="1"/>
  <c r="R154" i="1" s="1"/>
  <c r="N154" i="1"/>
  <c r="M154" i="1"/>
  <c r="N346" i="1"/>
  <c r="M346" i="1"/>
  <c r="Q346" i="1"/>
  <c r="R346" i="1" s="1"/>
  <c r="N323" i="1"/>
  <c r="M323" i="1"/>
  <c r="Q323" i="1"/>
  <c r="R323" i="1" s="1"/>
  <c r="K169" i="1"/>
  <c r="O169" i="1"/>
  <c r="Q201" i="1"/>
  <c r="R201" i="1" s="1"/>
  <c r="M201" i="1"/>
  <c r="N201" i="1"/>
  <c r="Q326" i="1"/>
  <c r="R326" i="1" s="1"/>
  <c r="M326" i="1"/>
  <c r="N326" i="1"/>
  <c r="Q181" i="1"/>
  <c r="R181" i="1" s="1"/>
  <c r="N181" i="1"/>
  <c r="M181" i="1"/>
  <c r="K157" i="1"/>
  <c r="O157" i="1"/>
  <c r="K329" i="1"/>
  <c r="O329" i="1"/>
  <c r="O367" i="1"/>
  <c r="K367" i="1"/>
  <c r="M338" i="1"/>
  <c r="N338" i="1"/>
  <c r="Q338" i="1"/>
  <c r="R338" i="1" s="1"/>
  <c r="O362" i="1"/>
  <c r="K362" i="1"/>
  <c r="Q239" i="1"/>
  <c r="R239" i="1" s="1"/>
  <c r="N239" i="1"/>
  <c r="M239" i="1"/>
  <c r="O171" i="1"/>
  <c r="K171" i="1"/>
  <c r="Q266" i="1"/>
  <c r="R266" i="1" s="1"/>
  <c r="N266" i="1"/>
  <c r="M266" i="1"/>
  <c r="N297" i="1"/>
  <c r="M297" i="1"/>
  <c r="Q297" i="1"/>
  <c r="R297" i="1" s="1"/>
  <c r="M294" i="1"/>
  <c r="Q294" i="1"/>
  <c r="R294" i="1" s="1"/>
  <c r="N294" i="1"/>
  <c r="M233" i="1"/>
  <c r="N233" i="1"/>
  <c r="Q233" i="1"/>
  <c r="R233" i="1" s="1"/>
  <c r="O164" i="1"/>
  <c r="K164" i="1"/>
  <c r="K223" i="1"/>
  <c r="O223" i="1"/>
  <c r="K242" i="1"/>
  <c r="O242" i="1"/>
  <c r="N197" i="1"/>
  <c r="M197" i="1"/>
  <c r="Q197" i="1"/>
  <c r="R197" i="1" s="1"/>
  <c r="M374" i="1"/>
  <c r="N374" i="1"/>
  <c r="Q374" i="1"/>
  <c r="R374" i="1" s="1"/>
  <c r="O173" i="1"/>
  <c r="K173" i="1"/>
  <c r="M308" i="1"/>
  <c r="N308" i="1"/>
  <c r="Q308" i="1"/>
  <c r="R308" i="1" s="1"/>
  <c r="Q150" i="1"/>
  <c r="R150" i="1" s="1"/>
  <c r="N150" i="1"/>
  <c r="M150" i="1"/>
  <c r="N381" i="1"/>
  <c r="M381" i="1"/>
  <c r="Q381" i="1"/>
  <c r="R381" i="1" s="1"/>
  <c r="N333" i="1"/>
  <c r="M333" i="1"/>
  <c r="Q333" i="1"/>
  <c r="R333" i="1" s="1"/>
  <c r="Q202" i="1"/>
  <c r="R202" i="1" s="1"/>
  <c r="N202" i="1"/>
  <c r="M202" i="1"/>
  <c r="M170" i="1"/>
  <c r="Q170" i="1"/>
  <c r="R170" i="1" s="1"/>
  <c r="N170" i="1"/>
  <c r="N135" i="1"/>
  <c r="M135" i="1"/>
  <c r="Q135" i="1"/>
  <c r="R135" i="1" s="1"/>
  <c r="O360" i="1"/>
  <c r="K360" i="1"/>
  <c r="Q372" i="1"/>
  <c r="R372" i="1" s="1"/>
  <c r="N372" i="1"/>
  <c r="M372" i="1"/>
  <c r="N325" i="1"/>
  <c r="M325" i="1"/>
  <c r="Q325" i="1"/>
  <c r="R325" i="1" s="1"/>
  <c r="O304" i="1"/>
  <c r="K304" i="1"/>
  <c r="Q316" i="1"/>
  <c r="R316" i="1" s="1"/>
  <c r="N316" i="1"/>
  <c r="M316" i="1"/>
  <c r="K226" i="1"/>
  <c r="O226" i="1"/>
  <c r="Q195" i="1"/>
  <c r="R195" i="1" s="1"/>
  <c r="M195" i="1"/>
  <c r="N195" i="1"/>
  <c r="N255" i="1"/>
  <c r="Q255" i="1"/>
  <c r="R255" i="1" s="1"/>
  <c r="M255" i="1"/>
  <c r="Q172" i="1"/>
  <c r="R172" i="1" s="1"/>
  <c r="N172" i="1"/>
  <c r="M172" i="1"/>
  <c r="N178" i="1"/>
  <c r="M178" i="1"/>
  <c r="Q178" i="1"/>
  <c r="R178" i="1" s="1"/>
  <c r="K238" i="1"/>
  <c r="O238" i="1"/>
  <c r="O302" i="1"/>
  <c r="K302" i="1"/>
  <c r="Q322" i="1"/>
  <c r="R322" i="1" s="1"/>
  <c r="N322" i="1"/>
  <c r="M322" i="1"/>
  <c r="Q343" i="1"/>
  <c r="R343" i="1" s="1"/>
  <c r="N343" i="1"/>
  <c r="M343" i="1"/>
  <c r="Q293" i="1"/>
  <c r="R293" i="1" s="1"/>
  <c r="N293" i="1"/>
  <c r="M293" i="1"/>
  <c r="Q342" i="1"/>
  <c r="R342" i="1" s="1"/>
  <c r="N342" i="1"/>
  <c r="M342" i="1"/>
  <c r="N240" i="1"/>
  <c r="M240" i="1"/>
  <c r="Q240" i="1"/>
  <c r="R240" i="1" s="1"/>
  <c r="M259" i="1"/>
  <c r="N259" i="1"/>
  <c r="Q259" i="1"/>
  <c r="R259" i="1" s="1"/>
  <c r="O310" i="1"/>
  <c r="K310" i="1"/>
  <c r="Q165" i="1"/>
  <c r="R165" i="1" s="1"/>
  <c r="N165" i="1"/>
  <c r="M165" i="1"/>
  <c r="K359" i="1"/>
  <c r="O359" i="1"/>
  <c r="Q383" i="1"/>
  <c r="R383" i="1" s="1"/>
  <c r="N383" i="1"/>
  <c r="M383" i="1"/>
  <c r="O313" i="1"/>
  <c r="K313" i="1"/>
  <c r="Q146" i="1"/>
  <c r="R146" i="1" s="1"/>
  <c r="N146" i="1"/>
  <c r="M146" i="1"/>
  <c r="Q327" i="1"/>
  <c r="R327" i="1" s="1"/>
  <c r="N327" i="1"/>
  <c r="M327" i="1"/>
  <c r="O213" i="1"/>
  <c r="K213" i="1"/>
  <c r="M331" i="1"/>
  <c r="N331" i="1"/>
  <c r="Q331" i="1"/>
  <c r="R331" i="1" s="1"/>
  <c r="Q345" i="1"/>
  <c r="R345" i="1" s="1"/>
  <c r="N345" i="1"/>
  <c r="M345" i="1"/>
  <c r="N188" i="1"/>
  <c r="M188" i="1"/>
  <c r="Q188" i="1"/>
  <c r="R188" i="1" s="1"/>
  <c r="K267" i="1"/>
  <c r="O267" i="1"/>
  <c r="Q163" i="1"/>
  <c r="R163" i="1" s="1"/>
  <c r="M163" i="1"/>
  <c r="N163" i="1"/>
  <c r="Q228" i="1"/>
  <c r="R228" i="1" s="1"/>
  <c r="N228" i="1"/>
  <c r="M228" i="1"/>
  <c r="N162" i="1"/>
  <c r="Q162" i="1"/>
  <c r="R162" i="1" s="1"/>
  <c r="M162" i="1"/>
  <c r="K369" i="1"/>
  <c r="O369" i="1"/>
  <c r="Q298" i="1"/>
  <c r="R298" i="1" s="1"/>
  <c r="N298" i="1"/>
  <c r="M298" i="1"/>
  <c r="Q256" i="1"/>
  <c r="R256" i="1" s="1"/>
  <c r="N256" i="1"/>
  <c r="M256" i="1"/>
  <c r="K307" i="1"/>
  <c r="O307" i="1"/>
  <c r="Q377" i="1"/>
  <c r="R377" i="1" s="1"/>
  <c r="N377" i="1"/>
  <c r="M377" i="1"/>
  <c r="Q158" i="1"/>
  <c r="R158" i="1" s="1"/>
  <c r="N158" i="1"/>
  <c r="M158" i="1"/>
  <c r="N317" i="1"/>
  <c r="M317" i="1"/>
  <c r="Q317" i="1"/>
  <c r="R317" i="1" s="1"/>
  <c r="K229" i="1"/>
  <c r="O229" i="1"/>
  <c r="O299" i="1"/>
  <c r="K299" i="1"/>
  <c r="Q231" i="1"/>
  <c r="R231" i="1" s="1"/>
  <c r="N231" i="1"/>
  <c r="M231" i="1"/>
  <c r="O390" i="1"/>
  <c r="K390" i="1"/>
  <c r="K315" i="1"/>
  <c r="O315" i="1"/>
  <c r="Q301" i="1"/>
  <c r="R301" i="1" s="1"/>
  <c r="N301" i="1"/>
  <c r="M301" i="1"/>
  <c r="O198" i="1"/>
  <c r="K198" i="1"/>
  <c r="K388" i="1"/>
  <c r="O388" i="1"/>
  <c r="K389" i="1"/>
  <c r="O389" i="1"/>
  <c r="Q212" i="1"/>
  <c r="R212" i="1" s="1"/>
  <c r="N212" i="1"/>
  <c r="M212" i="1"/>
  <c r="O321" i="1"/>
  <c r="K321" i="1"/>
  <c r="O350" i="1"/>
  <c r="K350" i="1"/>
  <c r="O373" i="1"/>
  <c r="K373" i="1"/>
  <c r="K204" i="1"/>
  <c r="O204" i="1"/>
  <c r="N271" i="1"/>
  <c r="M271" i="1"/>
  <c r="Q271" i="1"/>
  <c r="R271" i="1" s="1"/>
  <c r="N186" i="1"/>
  <c r="M186" i="1"/>
  <c r="Q186" i="1"/>
  <c r="R186" i="1" s="1"/>
  <c r="Q320" i="1"/>
  <c r="R320" i="1" s="1"/>
  <c r="M320" i="1"/>
  <c r="N320" i="1"/>
  <c r="N180" i="1"/>
  <c r="M180" i="1"/>
  <c r="Q180" i="1"/>
  <c r="R180" i="1" s="1"/>
  <c r="N340" i="1"/>
  <c r="M340" i="1"/>
  <c r="Q340" i="1"/>
  <c r="R340" i="1" s="1"/>
  <c r="N370" i="1"/>
  <c r="M370" i="1"/>
  <c r="Q370" i="1"/>
  <c r="R370" i="1" s="1"/>
  <c r="N161" i="1"/>
  <c r="M161" i="1"/>
  <c r="Q161" i="1"/>
  <c r="R161" i="1" s="1"/>
  <c r="Q352" i="1"/>
  <c r="R352" i="1" s="1"/>
  <c r="N352" i="1"/>
  <c r="M352" i="1"/>
  <c r="Q332" i="1"/>
  <c r="R332" i="1" s="1"/>
  <c r="N332" i="1"/>
  <c r="M332" i="1"/>
  <c r="O258" i="1"/>
  <c r="K258" i="1"/>
  <c r="O235" i="1"/>
  <c r="K235" i="1"/>
  <c r="K366" i="1"/>
  <c r="O366" i="1"/>
  <c r="K232" i="1"/>
  <c r="O232" i="1"/>
  <c r="Q177" i="1"/>
  <c r="R177" i="1" s="1"/>
  <c r="N177" i="1"/>
  <c r="M177" i="1"/>
  <c r="N168" i="1"/>
  <c r="M168" i="1"/>
  <c r="Q168" i="1"/>
  <c r="R168" i="1" s="1"/>
  <c r="N167" i="1"/>
  <c r="Q167" i="1"/>
  <c r="R167" i="1" s="1"/>
  <c r="M167" i="1"/>
  <c r="M303" i="1"/>
  <c r="N303" i="1"/>
  <c r="Q303" i="1"/>
  <c r="R303" i="1" s="1"/>
  <c r="N272" i="1"/>
  <c r="M272" i="1"/>
  <c r="Q272" i="1"/>
  <c r="R272" i="1" s="1"/>
  <c r="N376" i="1"/>
  <c r="M376" i="1"/>
  <c r="Q376" i="1"/>
  <c r="R376" i="1" s="1"/>
  <c r="Q393" i="1"/>
  <c r="R393" i="1" s="1"/>
  <c r="N393" i="1"/>
  <c r="K160" i="1"/>
  <c r="O160" i="1"/>
  <c r="O222" i="1"/>
  <c r="K222" i="1"/>
  <c r="O347" i="1"/>
  <c r="K347" i="1"/>
  <c r="N156" i="1"/>
  <c r="M156" i="1"/>
  <c r="Q156" i="1"/>
  <c r="R156" i="1" s="1"/>
  <c r="O144" i="1"/>
  <c r="K144" i="1"/>
  <c r="N356" i="1"/>
  <c r="M356" i="1"/>
  <c r="Q356" i="1"/>
  <c r="R356" i="1" s="1"/>
  <c r="Q296" i="1"/>
  <c r="R296" i="1" s="1"/>
  <c r="N296" i="1"/>
  <c r="M296" i="1"/>
  <c r="Q353" i="1"/>
  <c r="R353" i="1" s="1"/>
  <c r="N353" i="1"/>
  <c r="M353" i="1"/>
  <c r="M311" i="1"/>
  <c r="Q311" i="1"/>
  <c r="R311" i="1" s="1"/>
  <c r="N311" i="1"/>
  <c r="Q262" i="1"/>
  <c r="R262" i="1" s="1"/>
  <c r="M262" i="1"/>
  <c r="N262" i="1"/>
  <c r="M264" i="1"/>
  <c r="N264" i="1"/>
  <c r="Q264" i="1"/>
  <c r="R264" i="1" s="1"/>
  <c r="Q241" i="1"/>
  <c r="R241" i="1" s="1"/>
  <c r="N241" i="1"/>
  <c r="M241" i="1"/>
  <c r="K239" i="1" l="1"/>
  <c r="O239" i="1"/>
  <c r="K203" i="1"/>
  <c r="O203" i="1"/>
  <c r="O325" i="1"/>
  <c r="K325" i="1"/>
  <c r="O146" i="1"/>
  <c r="K146" i="1"/>
  <c r="O352" i="1"/>
  <c r="K352" i="1"/>
  <c r="O262" i="1"/>
  <c r="K262" i="1"/>
  <c r="O271" i="1"/>
  <c r="K271" i="1"/>
  <c r="K376" i="1"/>
  <c r="O376" i="1"/>
  <c r="K337" i="1"/>
  <c r="O337" i="1"/>
  <c r="O320" i="1"/>
  <c r="K320" i="1"/>
  <c r="O381" i="1"/>
  <c r="K381" i="1"/>
  <c r="K249" i="1"/>
  <c r="O249" i="1"/>
  <c r="K312" i="1"/>
  <c r="O312" i="1"/>
  <c r="K163" i="1"/>
  <c r="O163" i="1"/>
  <c r="O180" i="1"/>
  <c r="K180" i="1"/>
  <c r="O330" i="1"/>
  <c r="K330" i="1"/>
  <c r="K225" i="1"/>
  <c r="O225" i="1"/>
  <c r="O200" i="1"/>
  <c r="K200" i="1"/>
  <c r="K343" i="1"/>
  <c r="O343" i="1"/>
  <c r="K149" i="1"/>
  <c r="O149" i="1"/>
  <c r="O344" i="1"/>
  <c r="K344" i="1"/>
  <c r="K175" i="1"/>
  <c r="O175" i="1"/>
  <c r="O392" i="1"/>
  <c r="K392" i="1"/>
  <c r="O296" i="1"/>
  <c r="K296" i="1"/>
  <c r="K174" i="1"/>
  <c r="O174" i="1"/>
  <c r="O391" i="1"/>
  <c r="K391" i="1"/>
  <c r="O241" i="1"/>
  <c r="K241" i="1"/>
  <c r="O228" i="1"/>
  <c r="K228" i="1"/>
  <c r="O338" i="1"/>
  <c r="K338" i="1"/>
  <c r="O368" i="1"/>
  <c r="K368" i="1"/>
  <c r="O364" i="1"/>
  <c r="K364" i="1"/>
  <c r="K293" i="1"/>
  <c r="O293" i="1"/>
  <c r="O168" i="1"/>
  <c r="K168" i="1"/>
  <c r="O335" i="1"/>
  <c r="K335" i="1"/>
  <c r="K256" i="1"/>
  <c r="O256" i="1"/>
  <c r="O188" i="1"/>
  <c r="K188" i="1"/>
  <c r="O374" i="1"/>
  <c r="K374" i="1"/>
  <c r="O370" i="1"/>
  <c r="K370" i="1"/>
  <c r="O266" i="1"/>
  <c r="K266" i="1"/>
  <c r="O305" i="1"/>
  <c r="K305" i="1"/>
  <c r="O155" i="1"/>
  <c r="K155" i="1"/>
  <c r="O333" i="1"/>
  <c r="K333" i="1"/>
  <c r="K259" i="1"/>
  <c r="O259" i="1"/>
  <c r="K385" i="1"/>
  <c r="O385" i="1"/>
  <c r="K332" i="1"/>
  <c r="O332" i="1"/>
  <c r="O372" i="1"/>
  <c r="K372" i="1"/>
  <c r="O269" i="1"/>
  <c r="K269" i="1"/>
  <c r="K186" i="1"/>
  <c r="O186" i="1"/>
  <c r="K294" i="1"/>
  <c r="O294" i="1"/>
  <c r="K301" i="1"/>
  <c r="O301" i="1"/>
  <c r="O308" i="1"/>
  <c r="K308" i="1"/>
  <c r="O270" i="1"/>
  <c r="K270" i="1"/>
  <c r="K196" i="1"/>
  <c r="O196" i="1"/>
  <c r="O161" i="1"/>
  <c r="K161" i="1"/>
  <c r="O135" i="1"/>
  <c r="K135" i="1"/>
  <c r="K170" i="1"/>
  <c r="O170" i="1"/>
  <c r="O181" i="1"/>
  <c r="K181" i="1"/>
  <c r="O393" i="1"/>
  <c r="K393" i="1"/>
  <c r="K231" i="1"/>
  <c r="O231" i="1"/>
  <c r="O345" i="1"/>
  <c r="K345" i="1"/>
  <c r="K326" i="1"/>
  <c r="O326" i="1"/>
  <c r="O328" i="1"/>
  <c r="K328" i="1"/>
  <c r="K194" i="1"/>
  <c r="O194" i="1"/>
  <c r="O212" i="1"/>
  <c r="K212" i="1"/>
  <c r="K356" i="1"/>
  <c r="O356" i="1"/>
  <c r="O327" i="1"/>
  <c r="K327" i="1"/>
  <c r="K306" i="1"/>
  <c r="O306" i="1"/>
  <c r="O240" i="1"/>
  <c r="K240" i="1"/>
  <c r="O323" i="1"/>
  <c r="K323" i="1"/>
  <c r="O172" i="1"/>
  <c r="K172" i="1"/>
  <c r="K342" i="1"/>
  <c r="O342" i="1"/>
  <c r="O156" i="1"/>
  <c r="K156" i="1"/>
  <c r="K377" i="1"/>
  <c r="O377" i="1"/>
  <c r="O230" i="1"/>
  <c r="K230" i="1"/>
  <c r="K355" i="1"/>
  <c r="O355" i="1"/>
  <c r="O383" i="1"/>
  <c r="K383" i="1"/>
  <c r="O297" i="1"/>
  <c r="K297" i="1"/>
  <c r="O353" i="1"/>
  <c r="K353" i="1"/>
  <c r="O298" i="1"/>
  <c r="K298" i="1"/>
  <c r="O165" i="1"/>
  <c r="K165" i="1"/>
  <c r="K322" i="1"/>
  <c r="O322" i="1"/>
  <c r="K202" i="1"/>
  <c r="O202" i="1"/>
  <c r="K137" i="1"/>
  <c r="O137" i="1"/>
  <c r="O224" i="1"/>
  <c r="K224" i="1"/>
  <c r="O257" i="1"/>
  <c r="K257" i="1"/>
  <c r="O387" i="1"/>
  <c r="K387" i="1"/>
  <c r="K133" i="1"/>
  <c r="O133" i="1"/>
  <c r="O189" i="1"/>
  <c r="K189" i="1"/>
  <c r="K317" i="1"/>
  <c r="O317" i="1"/>
  <c r="O303" i="1"/>
  <c r="K303" i="1"/>
  <c r="K233" i="1"/>
  <c r="O233" i="1"/>
  <c r="O154" i="1"/>
  <c r="K154" i="1"/>
  <c r="K358" i="1"/>
  <c r="O358" i="1"/>
  <c r="K365" i="1"/>
  <c r="O365" i="1"/>
  <c r="O311" i="1"/>
  <c r="K311" i="1"/>
  <c r="O177" i="1"/>
  <c r="K177" i="1"/>
  <c r="O340" i="1"/>
  <c r="K340" i="1"/>
  <c r="K316" i="1"/>
  <c r="O316" i="1"/>
  <c r="O197" i="1"/>
  <c r="K197" i="1"/>
  <c r="O272" i="1"/>
  <c r="K272" i="1"/>
  <c r="O162" i="1"/>
  <c r="K162" i="1"/>
  <c r="O178" i="1"/>
  <c r="K178" i="1"/>
  <c r="O158" i="1"/>
  <c r="K158" i="1"/>
  <c r="K150" i="1"/>
  <c r="O150" i="1"/>
  <c r="O291" i="1"/>
  <c r="K291" i="1"/>
  <c r="O264" i="1"/>
  <c r="K264" i="1"/>
  <c r="O167" i="1"/>
  <c r="K167" i="1"/>
  <c r="K346" i="1"/>
  <c r="O346" i="1"/>
  <c r="K318" i="1"/>
  <c r="O318" i="1"/>
  <c r="K255" i="1"/>
  <c r="O255" i="1"/>
  <c r="O195" i="1"/>
  <c r="K195" i="1"/>
  <c r="O384" i="1"/>
  <c r="K384" i="1"/>
  <c r="K331" i="1"/>
  <c r="O331" i="1"/>
  <c r="K201" i="1"/>
  <c r="O201" i="1"/>
  <c r="K354" i="1"/>
  <c r="O354" i="1"/>
</calcChain>
</file>

<file path=xl/sharedStrings.xml><?xml version="1.0" encoding="utf-8"?>
<sst xmlns="http://schemas.openxmlformats.org/spreadsheetml/2006/main" count="302" uniqueCount="283">
  <si>
    <t>Курс</t>
  </si>
  <si>
    <t>.2025             РОЗА</t>
  </si>
  <si>
    <t>кол-во</t>
  </si>
  <si>
    <t>цена</t>
  </si>
  <si>
    <t>там</t>
  </si>
  <si>
    <t>c/c</t>
  </si>
  <si>
    <t>rb</t>
  </si>
  <si>
    <t>ss</t>
  </si>
  <si>
    <t>ssnew</t>
  </si>
  <si>
    <t>gomel</t>
  </si>
  <si>
    <t>сп</t>
  </si>
  <si>
    <t>BYN</t>
  </si>
  <si>
    <t>сп BYN</t>
  </si>
  <si>
    <t>Paeo L Sara Bernhard</t>
  </si>
  <si>
    <t>Hydr M Mag Coral</t>
  </si>
  <si>
    <t>Lim Maine Blue</t>
  </si>
  <si>
    <t>Paeo L Alex Fleming</t>
  </si>
  <si>
    <t>Paeo L Alertie</t>
  </si>
  <si>
    <t>Paeo L Duches D Nemo</t>
  </si>
  <si>
    <t>Paeo L Kansas</t>
  </si>
  <si>
    <t>Paeo Coral Sunset</t>
  </si>
  <si>
    <t>R Tr Paris Rosever</t>
  </si>
  <si>
    <t>R Tr Pink Dimension</t>
  </si>
  <si>
    <t>R Tr Sno Trendsetter Water</t>
  </si>
  <si>
    <t>Lim S Fantasia Wings</t>
  </si>
  <si>
    <t>Chame Un Eve</t>
  </si>
  <si>
    <t>Chr S Mad Lindi Whit</t>
  </si>
  <si>
    <t>Allium Ov</t>
  </si>
  <si>
    <t>Drac Surculosa Florida Beauty</t>
  </si>
  <si>
    <t>Zant Capt Ranomi</t>
  </si>
  <si>
    <t>Li Or Helvetia</t>
  </si>
  <si>
    <t>Lim Sin Sen P Colada</t>
  </si>
  <si>
    <t>Lim Saf Lilac</t>
  </si>
  <si>
    <t>Paeo Diana Parks</t>
  </si>
  <si>
    <t>Paeo L Karl Rosenf</t>
  </si>
  <si>
    <t>Paeo L Miss America</t>
  </si>
  <si>
    <t>Ran Su Hanoi</t>
  </si>
  <si>
    <t>R Gr H3o</t>
  </si>
  <si>
    <t>R Gr Bisou</t>
  </si>
  <si>
    <t>R Gr Babyface</t>
  </si>
  <si>
    <t>R Tr Royal Blush (vip)</t>
  </si>
  <si>
    <t>R Gr Jackpot+</t>
  </si>
  <si>
    <t>Rosa David Austin Purity</t>
  </si>
  <si>
    <t>R Gr Quicksand</t>
  </si>
  <si>
    <t>R Gr Royal Romance</t>
  </si>
  <si>
    <t>Lim S Frost Wings</t>
  </si>
  <si>
    <t>Lim S Cryst Dark Blu</t>
  </si>
  <si>
    <t>Lim S Tessa Malva</t>
  </si>
  <si>
    <t>Chr G Magnum</t>
  </si>
  <si>
    <t>Chr G Maracuja</t>
  </si>
  <si>
    <t>Chr G Superbowl</t>
  </si>
  <si>
    <t>Chr G Honeymoon</t>
  </si>
  <si>
    <t>Eryn Magnetar Qstar</t>
  </si>
  <si>
    <t>Veronica Smart Gem</t>
  </si>
  <si>
    <t>R Tr Bala</t>
  </si>
  <si>
    <t>R Tr Bella Trendsetter</t>
  </si>
  <si>
    <t>R Tr Birds Nest+ Extra</t>
  </si>
  <si>
    <t>R Tr First Date</t>
  </si>
  <si>
    <t>Lim S Apricot Sun Birds</t>
  </si>
  <si>
    <t>Lim S Peach Wings</t>
  </si>
  <si>
    <t>Tana Pa Cameron</t>
  </si>
  <si>
    <t>Tana Pa Saphira New!!</t>
  </si>
  <si>
    <t>Fr Du Starlight</t>
  </si>
  <si>
    <t>Eust G Alissa Light Apricot Lugt</t>
  </si>
  <si>
    <t>Eust G Alissa Pure White</t>
  </si>
  <si>
    <t>Eust G Alissa Peach</t>
  </si>
  <si>
    <t>Daucus Carota Dara</t>
  </si>
  <si>
    <t>Ge Gr Diamond Pasta Marinara</t>
  </si>
  <si>
    <t>Hydr M Revolution Pink 60-17</t>
  </si>
  <si>
    <t>Hydr M Sunsation Pa</t>
  </si>
  <si>
    <t>Delph Du Guard Lavender</t>
  </si>
  <si>
    <t>Zanted Gold Medal Double</t>
  </si>
  <si>
    <t>Camp M Champion Lavender</t>
  </si>
  <si>
    <t>Clem Amazing Rome</t>
  </si>
  <si>
    <t>Li Lf Watch Up 1+</t>
  </si>
  <si>
    <t>Matth Milla Salmon</t>
  </si>
  <si>
    <t>Oxy Co Tan Pure Blu</t>
  </si>
  <si>
    <t>Paeo L Odile</t>
  </si>
  <si>
    <t>Paeonia Sarah Bernhardt</t>
  </si>
  <si>
    <t>Sang Of Red Dream</t>
  </si>
  <si>
    <t>Chr San Lawson</t>
  </si>
  <si>
    <t>Cel C Act Verda</t>
  </si>
  <si>
    <t>Cel C Act Ziva</t>
  </si>
  <si>
    <t>Eus G Alissa Pure White</t>
  </si>
  <si>
    <t>Helic Tropic Exotic</t>
  </si>
  <si>
    <t>Tana Pa Single Vegmo</t>
  </si>
  <si>
    <t>Allium Gladiator</t>
  </si>
  <si>
    <t>Astil C Vi Pink</t>
  </si>
  <si>
    <t>Vanda Kan Blue Magic</t>
  </si>
  <si>
    <t>Ge Gr Aquabox Mix *96</t>
  </si>
  <si>
    <t>Hydr M Schneeball</t>
  </si>
  <si>
    <t>Iris Blue Magic Decorum</t>
  </si>
  <si>
    <t>Li Or Santander 5+ Super Dutch Lily Master</t>
  </si>
  <si>
    <t>Matth Aida White</t>
  </si>
  <si>
    <t>Matth Mathilda Laven</t>
  </si>
  <si>
    <t>Paeo L Bowl Of Cream</t>
  </si>
  <si>
    <t>Paeo Kansas</t>
  </si>
  <si>
    <t>Paeo L Mme Claude Tain</t>
  </si>
  <si>
    <t>Paeo Red Charm</t>
  </si>
  <si>
    <t>Paeo Sara Bernhardt</t>
  </si>
  <si>
    <t>Paeo L Cath Fontijn</t>
  </si>
  <si>
    <t>Paeo L Shirle Temple</t>
  </si>
  <si>
    <t>R Tr Garden Notre Dame</t>
  </si>
  <si>
    <t>Rosa David Austin Eugenie</t>
  </si>
  <si>
    <t>Rosa David Austin Charity</t>
  </si>
  <si>
    <t>R Gr Candlelight Ec</t>
  </si>
  <si>
    <t>Rosa Princess Maya</t>
  </si>
  <si>
    <t>Tu Du Adore</t>
  </si>
  <si>
    <t>Tu Du Valdivia</t>
  </si>
  <si>
    <t>Tu Du Viking</t>
  </si>
  <si>
    <t>Phal By Stem Sensation White 65cm</t>
  </si>
  <si>
    <t>Fr En Ilse White</t>
  </si>
  <si>
    <t>Chr T Alemani</t>
  </si>
  <si>
    <t>Chr G Antonov White *120 Trivor</t>
  </si>
  <si>
    <t>* Chr G Magnum White *120 Vannova</t>
  </si>
  <si>
    <t>* Chr G Tutu *120 Zentoo</t>
  </si>
  <si>
    <t>* Chr G Honeymoon *120 Vannova</t>
  </si>
  <si>
    <t>* Chr T Altaj White *140 Decorum</t>
  </si>
  <si>
    <t>* Chr T Baltica White *140 De Waal</t>
  </si>
  <si>
    <t>* Chr T Deligreen *140 Decorum</t>
  </si>
  <si>
    <t>* Chr T Kennedy White *160 Samada 100gr</t>
  </si>
  <si>
    <t>* Chr T Newton *160 Zentoo</t>
  </si>
  <si>
    <t>Chr T Pastela Salmon</t>
  </si>
  <si>
    <t>* Chr T Pina Colada White *160 Samada 95gr</t>
  </si>
  <si>
    <t>Chr San Rossi Pink</t>
  </si>
  <si>
    <t>* Chr T Fabienne Sweet *160 Zentoo</t>
  </si>
  <si>
    <t>* Chr T Chic White *160 100gr Charisma</t>
  </si>
  <si>
    <t>Chr T Sugarbunny</t>
  </si>
  <si>
    <t>Eryn Mag Blue Lagoon</t>
  </si>
  <si>
    <t>Eust G Alissa Pure White Lugt</t>
  </si>
  <si>
    <t>Eust G Alissa Light Pink Lugt</t>
  </si>
  <si>
    <t>Eust G Rosita White *40 Waalzicht</t>
  </si>
  <si>
    <t>Eust G Chac Wedding Pink *40 Waalzicht</t>
  </si>
  <si>
    <t>Eust G Lisanne Soft Pink *40 Waalzicht</t>
  </si>
  <si>
    <t>R Tr Yvette Water</t>
  </si>
  <si>
    <t>R Tr Galina</t>
  </si>
  <si>
    <t>R Tr Dominica</t>
  </si>
  <si>
    <t>R Tr Quincy</t>
  </si>
  <si>
    <t>R Tr Limousine</t>
  </si>
  <si>
    <t>R Tr Maroon</t>
  </si>
  <si>
    <t>R Tr Red Trendsetter</t>
  </si>
  <si>
    <t>R Tr Reflex</t>
  </si>
  <si>
    <t>R Tr Snowflake</t>
  </si>
  <si>
    <t>R Gr Rhodos</t>
  </si>
  <si>
    <t>R Gr Snowstorm+</t>
  </si>
  <si>
    <t>R Gr Tacazzi+</t>
  </si>
  <si>
    <t>* Chr G Antonov White *120 Vannova</t>
  </si>
  <si>
    <t>Chr G Magnum Yellow</t>
  </si>
  <si>
    <t>Chr G Momoko</t>
  </si>
  <si>
    <t>Chr G Playtime</t>
  </si>
  <si>
    <t>Chr G Roxo</t>
  </si>
  <si>
    <t>Chr G Tutu</t>
  </si>
  <si>
    <t>Chr G Etrusko</t>
  </si>
  <si>
    <t>Chr T Altaj</t>
  </si>
  <si>
    <t>Chr T Altaj Yellow</t>
  </si>
  <si>
    <t>Chr T Baltica</t>
  </si>
  <si>
    <t>Chr T Babe</t>
  </si>
  <si>
    <t>Chr T Deligreen</t>
  </si>
  <si>
    <t>Chr T Kalimba</t>
  </si>
  <si>
    <t>Chr T Kennedy</t>
  </si>
  <si>
    <t>Chr T Kennedy Rosy</t>
  </si>
  <si>
    <t>Chr T Commander</t>
  </si>
  <si>
    <t>Chr T Copa</t>
  </si>
  <si>
    <t>Chr T Letsgo Pink</t>
  </si>
  <si>
    <t>Chr T Lionking</t>
  </si>
  <si>
    <t>Chr T Letitbe</t>
  </si>
  <si>
    <t>Chr T Mirana</t>
  </si>
  <si>
    <t>Chr T Newton</t>
  </si>
  <si>
    <t>Chr T Optimist</t>
  </si>
  <si>
    <t>Chr T Pastela Pink</t>
  </si>
  <si>
    <t>Chr T Pina Colada</t>
  </si>
  <si>
    <t>Chr T Precious</t>
  </si>
  <si>
    <t>Chr T Radost</t>
  </si>
  <si>
    <t>Chr T Radost Cream</t>
  </si>
  <si>
    <t>Chr S Country</t>
  </si>
  <si>
    <t>Chr S Ellison Sweet</t>
  </si>
  <si>
    <t>Chr T Stallion</t>
  </si>
  <si>
    <t>Chr T Fabienne Sweet</t>
  </si>
  <si>
    <t>Chr T Fontina</t>
  </si>
  <si>
    <t>Chr T Chic</t>
  </si>
  <si>
    <t>Chr T Chic Cream</t>
  </si>
  <si>
    <t>Chr T Abbey</t>
  </si>
  <si>
    <t>Cymb T Cascade</t>
  </si>
  <si>
    <t>Cymb T Gem</t>
  </si>
  <si>
    <t>Cymb T Delmonte</t>
  </si>
  <si>
    <t>Li Ot Zambesi Magnum Aa Doos 5+</t>
  </si>
  <si>
    <t>Li Or Du Dou Diamond 3+</t>
  </si>
  <si>
    <t>Li Ot Dalian Magnum Aa Doos 5+</t>
  </si>
  <si>
    <t>Allium Grootbloemig</t>
  </si>
  <si>
    <t>Alst Fl Charmelia</t>
  </si>
  <si>
    <t>Amar Ca Green Pearls</t>
  </si>
  <si>
    <t>Ammi Vis Green Mist</t>
  </si>
  <si>
    <t>Anigoz Bush Gold</t>
  </si>
  <si>
    <t>Antir Antibes White</t>
  </si>
  <si>
    <t>Antir Legend Yellow</t>
  </si>
  <si>
    <t>Antir Antibes Red</t>
  </si>
  <si>
    <t>Antir Antibes Pink</t>
  </si>
  <si>
    <t>Anth A Acropolis</t>
  </si>
  <si>
    <t>Astil Ar Paul Gaarde</t>
  </si>
  <si>
    <t>Astil Ja Europa</t>
  </si>
  <si>
    <t>Brun Laevis</t>
  </si>
  <si>
    <t>Viburnum Roseum St</t>
  </si>
  <si>
    <t>Ge Gr Op Rij Gemengd</t>
  </si>
  <si>
    <t>Ge Mi Alix-noor</t>
  </si>
  <si>
    <t>Ge Mi Lido</t>
  </si>
  <si>
    <t>Ge Mi Bridal Kimsey</t>
  </si>
  <si>
    <t>Ge Mi Dixon</t>
  </si>
  <si>
    <t>Ge Mi Talent</t>
  </si>
  <si>
    <t>Ge Mi Espresso</t>
  </si>
  <si>
    <t>Ge Kv Rebel Typhoon</t>
  </si>
  <si>
    <t>Ge Mb Pom Floyd</t>
  </si>
  <si>
    <t>Ge Mb Pom Beaker</t>
  </si>
  <si>
    <t>Ge Mb Amando</t>
  </si>
  <si>
    <t>Ge Gr Alliance</t>
  </si>
  <si>
    <t>Hyp Coco Casino Pink</t>
  </si>
  <si>
    <t>Hydr M Ch Whi Verena</t>
  </si>
  <si>
    <t>Hydr M Ch Verena Bl</t>
  </si>
  <si>
    <t>Hydr M Mag Rubyred</t>
  </si>
  <si>
    <t>Hydr M Sibilla Rd</t>
  </si>
  <si>
    <t>Hydr M My Minerva</t>
  </si>
  <si>
    <t>Hydr M My Pinktou Rz</t>
  </si>
  <si>
    <t>Hydr M My Pinktou Cl</t>
  </si>
  <si>
    <t>Delph El Dew Impr Wh</t>
  </si>
  <si>
    <t>Delph Du De Lav Love</t>
  </si>
  <si>
    <t>Delph El Delp Emeral</t>
  </si>
  <si>
    <t>Delph El Dew Melody</t>
  </si>
  <si>
    <t>Iris Casablanca</t>
  </si>
  <si>
    <t>Iris Blue Magic Special Selected</t>
  </si>
  <si>
    <t>Zant Ae Colombe Paix</t>
  </si>
  <si>
    <t>Zant Capt Promise</t>
  </si>
  <si>
    <t>Zant Capt Ventura</t>
  </si>
  <si>
    <t>Zant Blushing Lady</t>
  </si>
  <si>
    <t>Zant Call Ceara</t>
  </si>
  <si>
    <t>Camp M Champion Whit</t>
  </si>
  <si>
    <t>Camp M Evergr S Whit</t>
  </si>
  <si>
    <t>Camp M Champion Lave</t>
  </si>
  <si>
    <t>Knip Alcazar</t>
  </si>
  <si>
    <t>Coti C Royal Purple</t>
  </si>
  <si>
    <t>Curc Al Siam Sunrise</t>
  </si>
  <si>
    <t>Lathyr Mist Dia Blue</t>
  </si>
  <si>
    <t>Leucad Ayoba African Sky</t>
  </si>
  <si>
    <t>Leuco Scarlet Ribbon</t>
  </si>
  <si>
    <t>Leuco Naomi Klb H%</t>
  </si>
  <si>
    <t>Matth Figaro L Rose</t>
  </si>
  <si>
    <t>Matth Mathilda Blue</t>
  </si>
  <si>
    <t>Nige Da M Jekyll Oxf</t>
  </si>
  <si>
    <t>Paeonia Gardenia</t>
  </si>
  <si>
    <t>Paeonia Lemon Chiffon</t>
  </si>
  <si>
    <t>Paeonia Madame Claude Tain</t>
  </si>
  <si>
    <t>Paeonia Odile</t>
  </si>
  <si>
    <t>Protea Brenda</t>
  </si>
  <si>
    <t>Protea Carnival</t>
  </si>
  <si>
    <t>Protea Cy Madiba</t>
  </si>
  <si>
    <t>Ran Co Magical Raspberry</t>
  </si>
  <si>
    <t>Scab At F Scoop Wh I</t>
  </si>
  <si>
    <t>Scab At Lavendel Scoop</t>
  </si>
  <si>
    <t>Scab At Bb Scoop Pun</t>
  </si>
  <si>
    <t>Soli Carzan Glory</t>
  </si>
  <si>
    <t>Strelitzia Reginae Bloem</t>
  </si>
  <si>
    <t>Tu En Royal Virgin</t>
  </si>
  <si>
    <t>Phal Kobe</t>
  </si>
  <si>
    <t>Fr Du Riga</t>
  </si>
  <si>
    <t>Fr Du Gem</t>
  </si>
  <si>
    <t>Chame Un My Sweet 16</t>
  </si>
  <si>
    <t>Chame Un Danc Queen</t>
  </si>
  <si>
    <t>Hell Or Queens White</t>
  </si>
  <si>
    <t>Eryn Supernova Qstar</t>
  </si>
  <si>
    <t>Eus G Alissa Pur Whi</t>
  </si>
  <si>
    <t>Eus G Alissa Yellow</t>
  </si>
  <si>
    <t>Eus G Alissa Ligh Pi</t>
  </si>
  <si>
    <t>Eus G Alissa Pink</t>
  </si>
  <si>
    <t>Eus G Alissa Champag</t>
  </si>
  <si>
    <t>Eus G Rosi White</t>
  </si>
  <si>
    <t>Eus G Croma Brid Kis</t>
  </si>
  <si>
    <t>Eus G Rosi Blue Pic</t>
  </si>
  <si>
    <t>Eus G Chac Wed Pink</t>
  </si>
  <si>
    <t>Eus G Rosan Emerald</t>
  </si>
  <si>
    <t>Eus G Lisanne L Pink</t>
  </si>
  <si>
    <t>Eus G Corelli Lavend</t>
  </si>
  <si>
    <t>Eus G Sabrina Orange</t>
  </si>
  <si>
    <t>Eus G R L Terracotta</t>
  </si>
  <si>
    <t>Eus G Celebrich Whit</t>
  </si>
  <si>
    <t>Eus G Celeb Queen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</si>
</sst>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b/>
      <sz val="12"/>
      <color indexed="8"/>
      <name val="Arial"/>
      <family val="2"/>
      <charset val="204"/>
    </font>
    <font>
      <b/>
      <sz val="12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b/>
      <i/>
      <sz val="12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2"/>
      <name val="Arial Cyr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 applyBorder="1" applyAlignment="1" applyProtection="1">
      <alignment horizontal="left" vertical="top"/>
      <protection locked="0"/>
    </xf>
    <xf numFmtId="2" fontId="4" fillId="0" borderId="0" xfId="0" applyNumberFormat="1" applyFont="1" applyFill="1" applyBorder="1" applyAlignment="1" applyProtection="1">
      <alignment horizontal="left" vertical="top"/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/>
    <xf numFmtId="2" fontId="8" fillId="0" borderId="0" xfId="1" applyNumberFormat="1"/>
    <xf numFmtId="0" fontId="8" fillId="0" borderId="1" xfId="1" applyBorder="1"/>
    <xf numFmtId="1" fontId="9" fillId="0" borderId="1" xfId="1" applyNumberFormat="1" applyFont="1" applyBorder="1" applyAlignment="1" applyProtection="1">
      <alignment horizontal="left" vertical="center"/>
      <protection locked="0"/>
    </xf>
    <xf numFmtId="2" fontId="10" fillId="0" borderId="1" xfId="1" applyNumberFormat="1" applyFont="1" applyBorder="1" applyAlignment="1" applyProtection="1">
      <alignment horizontal="right" vertical="top"/>
      <protection locked="0"/>
    </xf>
    <xf numFmtId="0" fontId="1" fillId="0" borderId="1" xfId="0" applyNumberFormat="1" applyFont="1" applyBorder="1"/>
    <xf numFmtId="2" fontId="1" fillId="0" borderId="1" xfId="0" applyNumberFormat="1" applyFont="1" applyBorder="1"/>
    <xf numFmtId="2" fontId="2" fillId="0" borderId="1" xfId="0" applyNumberFormat="1" applyFont="1" applyBorder="1"/>
    <xf numFmtId="2" fontId="1" fillId="0" borderId="1" xfId="0" applyNumberFormat="1" applyFont="1" applyFill="1" applyBorder="1"/>
    <xf numFmtId="2" fontId="11" fillId="0" borderId="1" xfId="0" applyNumberFormat="1" applyFont="1" applyFill="1" applyBorder="1"/>
    <xf numFmtId="0" fontId="0" fillId="0" borderId="0" xfId="0" applyBorder="1"/>
    <xf numFmtId="0" fontId="9" fillId="0" borderId="0" xfId="0" applyFont="1" applyBorder="1" applyAlignment="1" applyProtection="1">
      <alignment horizontal="left" vertical="top"/>
      <protection locked="0"/>
    </xf>
    <xf numFmtId="0" fontId="9" fillId="0" borderId="0" xfId="0" applyFont="1" applyAlignment="1" applyProtection="1">
      <alignment horizontal="left" vertical="top"/>
      <protection locked="0"/>
    </xf>
    <xf numFmtId="0" fontId="8" fillId="0" borderId="0" xfId="0" applyFont="1"/>
    <xf numFmtId="0" fontId="12" fillId="0" borderId="0" xfId="0" applyFont="1"/>
  </cellXfs>
  <cellStyles count="2">
    <cellStyle name="Обычный" xfId="0" builtinId="0"/>
    <cellStyle name="Обычный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ois/source/repos/FlowerParser-v3.2/FlowerParser/excel/26FF0521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Лист1"/>
      <sheetName val="Лист2"/>
      <sheetName val="Лист3"/>
      <sheetName val="Лист4"/>
      <sheetName val="Лист7"/>
      <sheetName val="Лист8"/>
      <sheetName val="лист10"/>
      <sheetName val="лист11"/>
      <sheetName val="лист21"/>
      <sheetName val="лист31"/>
      <sheetName val="лист41"/>
      <sheetName val="Лист3 (2)"/>
      <sheetName val="Лист5"/>
      <sheetName val="Лист6"/>
      <sheetName val="Лист3 (3)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  <cell r="C2" t="str">
            <v>Роза Родос NL 40</v>
          </cell>
          <cell r="D2">
            <v>840</v>
          </cell>
          <cell r="F2">
            <v>9.9999999999999992E-2</v>
          </cell>
        </row>
        <row r="3">
          <cell r="A3">
            <v>1</v>
          </cell>
          <cell r="C3" t="str">
            <v>AKM13 Роза Бэбифейс NL 50</v>
          </cell>
          <cell r="D3">
            <v>100</v>
          </cell>
          <cell r="F3">
            <v>0.16</v>
          </cell>
        </row>
        <row r="4">
          <cell r="A4">
            <v>1</v>
          </cell>
          <cell r="C4" t="str">
            <v>AKM13 Роза Квиксэнд NL 50</v>
          </cell>
          <cell r="D4">
            <v>100</v>
          </cell>
          <cell r="F4">
            <v>0.99</v>
          </cell>
        </row>
        <row r="5">
          <cell r="A5">
            <v>1</v>
          </cell>
          <cell r="C5" t="str">
            <v>Роза Сноушторм NL 50</v>
          </cell>
          <cell r="D5">
            <v>420</v>
          </cell>
          <cell r="F5">
            <v>9.9999999999999992E-2</v>
          </cell>
        </row>
        <row r="6">
          <cell r="A6">
            <v>1</v>
          </cell>
          <cell r="C6" t="str">
            <v>Роза Такази NL 50</v>
          </cell>
          <cell r="D6">
            <v>160</v>
          </cell>
          <cell r="F6">
            <v>0.15</v>
          </cell>
        </row>
        <row r="7">
          <cell r="A7">
            <v>1</v>
          </cell>
          <cell r="C7" t="str">
            <v>AKM12 Роза ветвистая Пинк Дименсион NL 50</v>
          </cell>
          <cell r="D7">
            <v>30</v>
          </cell>
          <cell r="F7">
            <v>0.88</v>
          </cell>
        </row>
        <row r="8">
          <cell r="A8">
            <v>1</v>
          </cell>
          <cell r="C8" t="str">
            <v>Роза ветвистая Рефлекс NL 50</v>
          </cell>
          <cell r="D8">
            <v>60</v>
          </cell>
          <cell r="F8">
            <v>0.51</v>
          </cell>
        </row>
        <row r="9">
          <cell r="A9">
            <v>1</v>
          </cell>
          <cell r="C9" t="str">
            <v>AKM13 Роза дэвид аустин Пьюрити 50</v>
          </cell>
          <cell r="D9">
            <v>72</v>
          </cell>
          <cell r="F9">
            <v>2.5499999999999998</v>
          </cell>
        </row>
        <row r="10">
          <cell r="A10">
            <v>1</v>
          </cell>
          <cell r="C10" t="str">
            <v>AKM13 Роза Бизу NL 60</v>
          </cell>
          <cell r="D10">
            <v>100</v>
          </cell>
          <cell r="F10">
            <v>0.2</v>
          </cell>
        </row>
        <row r="11">
          <cell r="A11">
            <v>1</v>
          </cell>
          <cell r="C11" t="str">
            <v>AKM13 Роза H3o NL 60</v>
          </cell>
          <cell r="D11">
            <v>120</v>
          </cell>
          <cell r="F11">
            <v>0.2</v>
          </cell>
        </row>
        <row r="12">
          <cell r="A12">
            <v>1</v>
          </cell>
          <cell r="C12" t="str">
            <v>Роза ветвистая Доминики 60</v>
          </cell>
          <cell r="D12">
            <v>120</v>
          </cell>
          <cell r="F12">
            <v>0.51</v>
          </cell>
        </row>
        <row r="13">
          <cell r="A13">
            <v>1</v>
          </cell>
          <cell r="C13" t="str">
            <v>Роза ветвистая Марун NL 60</v>
          </cell>
          <cell r="D13">
            <v>30</v>
          </cell>
          <cell r="F13">
            <v>1.02</v>
          </cell>
        </row>
        <row r="14">
          <cell r="A14">
            <v>1</v>
          </cell>
          <cell r="C14" t="str">
            <v>AKM12 Роза ветваистая париж Розевер 60</v>
          </cell>
          <cell r="D14">
            <v>30</v>
          </cell>
          <cell r="F14">
            <v>0.82</v>
          </cell>
        </row>
        <row r="15">
          <cell r="A15">
            <v>1</v>
          </cell>
          <cell r="C15" t="str">
            <v>Роза ветвистая Квинси NL 60</v>
          </cell>
          <cell r="D15">
            <v>400</v>
          </cell>
          <cell r="F15">
            <v>0.53</v>
          </cell>
        </row>
        <row r="16">
          <cell r="A16">
            <v>1</v>
          </cell>
          <cell r="C16" t="str">
            <v>AKM12 Роза ветвистая Сноу трендсетр NL 60</v>
          </cell>
          <cell r="D16">
            <v>60</v>
          </cell>
          <cell r="F16">
            <v>0.53</v>
          </cell>
        </row>
        <row r="17">
          <cell r="A17">
            <v>1</v>
          </cell>
          <cell r="C17" t="str">
            <v>Роза ветвистая Сноуфлейк NL 60</v>
          </cell>
          <cell r="D17">
            <v>80</v>
          </cell>
          <cell r="F17">
            <v>0.61</v>
          </cell>
        </row>
        <row r="18">
          <cell r="A18">
            <v>1</v>
          </cell>
          <cell r="C18" t="str">
            <v>Роза ветвистая Вуетте NL 60</v>
          </cell>
          <cell r="D18">
            <v>200</v>
          </cell>
          <cell r="F18">
            <v>0.65</v>
          </cell>
        </row>
        <row r="19">
          <cell r="A19">
            <v>1</v>
          </cell>
          <cell r="C19" t="str">
            <v>AKM13 Роза Джэкпот NL 70</v>
          </cell>
          <cell r="D19">
            <v>100</v>
          </cell>
          <cell r="F19">
            <v>0.2</v>
          </cell>
        </row>
        <row r="20">
          <cell r="A20">
            <v>1</v>
          </cell>
          <cell r="C20" t="str">
            <v>AKM13 Роза Роял романс 70</v>
          </cell>
          <cell r="D20">
            <v>20</v>
          </cell>
          <cell r="F20">
            <v>1.58</v>
          </cell>
        </row>
        <row r="21">
          <cell r="A21">
            <v>1</v>
          </cell>
          <cell r="C21" t="str">
            <v>Роза ветвистая Галина NL 70</v>
          </cell>
          <cell r="D21">
            <v>60</v>
          </cell>
          <cell r="F21">
            <v>1.1000000000000001</v>
          </cell>
        </row>
        <row r="22">
          <cell r="A22">
            <v>1</v>
          </cell>
          <cell r="C22" t="str">
            <v>Роза ветвистая Лимузин NL 70</v>
          </cell>
          <cell r="D22">
            <v>160</v>
          </cell>
          <cell r="F22">
            <v>0.75</v>
          </cell>
        </row>
        <row r="23">
          <cell r="A23">
            <v>1</v>
          </cell>
          <cell r="C23" t="str">
            <v>Роза ветвистая Ред Трендсеттер NL 70</v>
          </cell>
          <cell r="D23">
            <v>120</v>
          </cell>
          <cell r="F23">
            <v>0.66</v>
          </cell>
        </row>
        <row r="24">
          <cell r="A24">
            <v>1</v>
          </cell>
          <cell r="C24" t="str">
            <v>AKM13 Роза ветвистая Роял Блаш NL 70</v>
          </cell>
          <cell r="D24">
            <v>40</v>
          </cell>
          <cell r="F24">
            <v>2.58</v>
          </cell>
        </row>
        <row r="25">
          <cell r="A25">
            <v>2</v>
          </cell>
          <cell r="C25" t="str">
            <v>Хризантема 1 Этруско</v>
          </cell>
          <cell r="D25">
            <v>50</v>
          </cell>
          <cell r="F25">
            <v>0.62</v>
          </cell>
        </row>
        <row r="26">
          <cell r="A26">
            <v>2</v>
          </cell>
          <cell r="C26" t="str">
            <v>AKM13 Хризантема 1 Ханимун</v>
          </cell>
          <cell r="D26">
            <v>180</v>
          </cell>
          <cell r="F26">
            <v>0.48</v>
          </cell>
        </row>
        <row r="27">
          <cell r="A27">
            <v>2</v>
          </cell>
          <cell r="C27" t="str">
            <v>Хризантема 1 Магнум</v>
          </cell>
          <cell r="D27">
            <v>120</v>
          </cell>
          <cell r="F27">
            <v>0.45</v>
          </cell>
        </row>
        <row r="28">
          <cell r="A28">
            <v>2</v>
          </cell>
          <cell r="C28" t="str">
            <v>AKM13 Хризантема 1 Магнум</v>
          </cell>
          <cell r="D28">
            <v>120</v>
          </cell>
          <cell r="F28">
            <v>0.46</v>
          </cell>
        </row>
        <row r="29">
          <cell r="A29">
            <v>2</v>
          </cell>
          <cell r="C29" t="str">
            <v>Хризантема 1 Магнум желтый</v>
          </cell>
          <cell r="D29">
            <v>120</v>
          </cell>
          <cell r="F29">
            <v>0.47</v>
          </cell>
        </row>
        <row r="30">
          <cell r="A30">
            <v>2</v>
          </cell>
          <cell r="C30" t="str">
            <v>AKM13 Хризантема 1 Маракуя</v>
          </cell>
          <cell r="D30">
            <v>60</v>
          </cell>
          <cell r="F30">
            <v>0.48</v>
          </cell>
        </row>
        <row r="31">
          <cell r="A31">
            <v>2</v>
          </cell>
          <cell r="C31" t="str">
            <v>Хризантема 1 Момоко</v>
          </cell>
          <cell r="D31">
            <v>50</v>
          </cell>
          <cell r="F31">
            <v>0.55000000000000004</v>
          </cell>
        </row>
        <row r="32">
          <cell r="A32">
            <v>2</v>
          </cell>
          <cell r="C32" t="str">
            <v>Хризантема 1 Плайтайм</v>
          </cell>
          <cell r="D32">
            <v>40</v>
          </cell>
          <cell r="F32">
            <v>0.55000000000000004</v>
          </cell>
        </row>
        <row r="33">
          <cell r="A33">
            <v>2</v>
          </cell>
          <cell r="C33" t="str">
            <v>Хризантема 1 Роксо</v>
          </cell>
          <cell r="D33">
            <v>40</v>
          </cell>
          <cell r="F33">
            <v>0.57999999999999996</v>
          </cell>
        </row>
        <row r="34">
          <cell r="A34">
            <v>2</v>
          </cell>
          <cell r="C34" t="str">
            <v>AKM13 Хризантема 1 СуперБол</v>
          </cell>
          <cell r="D34">
            <v>40</v>
          </cell>
          <cell r="F34">
            <v>0.94</v>
          </cell>
        </row>
        <row r="35">
          <cell r="A35">
            <v>2</v>
          </cell>
          <cell r="C35" t="str">
            <v>Хризантема 1 Туту</v>
          </cell>
          <cell r="D35">
            <v>180</v>
          </cell>
          <cell r="F35">
            <v>0.56000000000000005</v>
          </cell>
        </row>
        <row r="36">
          <cell r="A36">
            <v>2</v>
          </cell>
          <cell r="C36" t="str">
            <v>Хризантема сантини Кантри</v>
          </cell>
          <cell r="D36">
            <v>75</v>
          </cell>
          <cell r="F36">
            <v>0.39</v>
          </cell>
        </row>
        <row r="37">
          <cell r="A37">
            <v>2</v>
          </cell>
          <cell r="C37" t="str">
            <v>Хризантема сантини Эллисон Свит</v>
          </cell>
          <cell r="D37">
            <v>75</v>
          </cell>
          <cell r="F37">
            <v>0.51</v>
          </cell>
        </row>
        <row r="38">
          <cell r="A38">
            <v>2</v>
          </cell>
          <cell r="C38" t="str">
            <v>AKM12 Хризантема сантини белая</v>
          </cell>
          <cell r="D38">
            <v>50</v>
          </cell>
          <cell r="F38">
            <v>0.43</v>
          </cell>
        </row>
        <row r="39">
          <cell r="A39">
            <v>2</v>
          </cell>
          <cell r="C39" t="str">
            <v>Хризантема Эбби</v>
          </cell>
          <cell r="D39">
            <v>80</v>
          </cell>
          <cell r="F39">
            <v>0.49</v>
          </cell>
        </row>
        <row r="40">
          <cell r="A40">
            <v>2</v>
          </cell>
          <cell r="C40" t="str">
            <v>Хризантема Алтай</v>
          </cell>
          <cell r="D40">
            <v>11260</v>
          </cell>
        </row>
        <row r="41">
          <cell r="A41">
            <v>2</v>
          </cell>
          <cell r="C41" t="str">
            <v>Хризантема алтай желтый</v>
          </cell>
          <cell r="D41">
            <v>480</v>
          </cell>
          <cell r="F41">
            <v>0.55000000000000004</v>
          </cell>
        </row>
        <row r="42">
          <cell r="A42">
            <v>2</v>
          </cell>
          <cell r="C42" t="str">
            <v>Хризантема Бэби</v>
          </cell>
          <cell r="D42">
            <v>320</v>
          </cell>
          <cell r="F42">
            <v>0.64</v>
          </cell>
        </row>
        <row r="43">
          <cell r="A43">
            <v>2</v>
          </cell>
          <cell r="C43" t="str">
            <v>Хризантема Балтика</v>
          </cell>
          <cell r="D43">
            <v>3280</v>
          </cell>
          <cell r="F43">
            <v>0.51</v>
          </cell>
        </row>
        <row r="44">
          <cell r="A44">
            <v>2</v>
          </cell>
          <cell r="C44" t="str">
            <v>Хризантема Шик</v>
          </cell>
          <cell r="D44">
            <v>9500</v>
          </cell>
        </row>
        <row r="45">
          <cell r="A45">
            <v>2</v>
          </cell>
          <cell r="C45" t="str">
            <v>Хризантема Шик крем</v>
          </cell>
          <cell r="D45">
            <v>240</v>
          </cell>
          <cell r="F45">
            <v>0.53</v>
          </cell>
        </row>
        <row r="46">
          <cell r="A46">
            <v>2</v>
          </cell>
          <cell r="C46" t="str">
            <v>Хризантема Командер</v>
          </cell>
          <cell r="D46">
            <v>160</v>
          </cell>
          <cell r="F46">
            <v>0.49</v>
          </cell>
        </row>
        <row r="47">
          <cell r="A47">
            <v>2</v>
          </cell>
          <cell r="C47" t="str">
            <v>Хризантема Копа</v>
          </cell>
          <cell r="D47">
            <v>80</v>
          </cell>
          <cell r="F47">
            <v>0.47</v>
          </cell>
        </row>
        <row r="48">
          <cell r="A48">
            <v>2</v>
          </cell>
          <cell r="C48" t="str">
            <v>Хризантема Делигрин</v>
          </cell>
          <cell r="D48">
            <v>160</v>
          </cell>
          <cell r="F48">
            <v>0.47</v>
          </cell>
        </row>
        <row r="49">
          <cell r="A49">
            <v>2</v>
          </cell>
          <cell r="C49" t="str">
            <v>Хризантема фабиен свит</v>
          </cell>
          <cell r="D49">
            <v>160</v>
          </cell>
          <cell r="F49">
            <v>0.59</v>
          </cell>
        </row>
        <row r="50">
          <cell r="A50">
            <v>2</v>
          </cell>
          <cell r="C50" t="str">
            <v>Хризантема Фонтина</v>
          </cell>
          <cell r="D50">
            <v>160</v>
          </cell>
          <cell r="F50">
            <v>0.53</v>
          </cell>
        </row>
        <row r="51">
          <cell r="A51">
            <v>2</v>
          </cell>
          <cell r="C51" t="str">
            <v>Хризантема Калимба</v>
          </cell>
          <cell r="D51">
            <v>240</v>
          </cell>
          <cell r="F51">
            <v>0.64</v>
          </cell>
        </row>
        <row r="52">
          <cell r="A52">
            <v>2</v>
          </cell>
          <cell r="C52" t="str">
            <v>Хризантема Кеннеди</v>
          </cell>
          <cell r="D52">
            <v>2480</v>
          </cell>
          <cell r="F52">
            <v>0.47000000000000003</v>
          </cell>
        </row>
        <row r="53">
          <cell r="A53">
            <v>2</v>
          </cell>
          <cell r="C53" t="str">
            <v>Хризантема Кеннеди роузи</v>
          </cell>
          <cell r="D53">
            <v>160</v>
          </cell>
          <cell r="F53">
            <v>0.52</v>
          </cell>
        </row>
        <row r="54">
          <cell r="A54">
            <v>2</v>
          </cell>
          <cell r="C54" t="str">
            <v>Хризантема Лэтитби</v>
          </cell>
          <cell r="D54">
            <v>80</v>
          </cell>
          <cell r="F54">
            <v>0.61</v>
          </cell>
        </row>
        <row r="55">
          <cell r="A55">
            <v>2</v>
          </cell>
          <cell r="C55" t="str">
            <v>Хризантема ЛетсГоу Пинк</v>
          </cell>
          <cell r="D55">
            <v>80</v>
          </cell>
          <cell r="F55">
            <v>0.66</v>
          </cell>
        </row>
        <row r="56">
          <cell r="A56">
            <v>2</v>
          </cell>
          <cell r="C56" t="str">
            <v>Хризантема Лион кинг</v>
          </cell>
          <cell r="D56">
            <v>80</v>
          </cell>
          <cell r="F56">
            <v>0.54</v>
          </cell>
        </row>
        <row r="57">
          <cell r="A57">
            <v>2</v>
          </cell>
          <cell r="C57" t="str">
            <v>Хризантема Мирана</v>
          </cell>
          <cell r="D57">
            <v>400</v>
          </cell>
          <cell r="F57">
            <v>0.43</v>
          </cell>
        </row>
        <row r="58">
          <cell r="A58">
            <v>2</v>
          </cell>
          <cell r="C58" t="str">
            <v>Хризантема Ньютон</v>
          </cell>
          <cell r="D58">
            <v>400</v>
          </cell>
          <cell r="F58">
            <v>1.01</v>
          </cell>
        </row>
        <row r="59">
          <cell r="A59">
            <v>2</v>
          </cell>
          <cell r="C59" t="str">
            <v>Хризантема Оптимист</v>
          </cell>
          <cell r="D59">
            <v>80</v>
          </cell>
          <cell r="F59">
            <v>0.6</v>
          </cell>
        </row>
        <row r="60">
          <cell r="A60">
            <v>2</v>
          </cell>
          <cell r="C60" t="str">
            <v>Хризантема Пастель пинк</v>
          </cell>
          <cell r="D60">
            <v>240</v>
          </cell>
          <cell r="F60">
            <v>0.66</v>
          </cell>
        </row>
        <row r="61">
          <cell r="A61">
            <v>2</v>
          </cell>
          <cell r="C61" t="str">
            <v>Хризантема Пино Колада</v>
          </cell>
          <cell r="D61">
            <v>420</v>
          </cell>
          <cell r="F61">
            <v>0.47</v>
          </cell>
        </row>
        <row r="62">
          <cell r="A62">
            <v>2</v>
          </cell>
          <cell r="C62" t="str">
            <v>Хризантема Прешис</v>
          </cell>
          <cell r="D62">
            <v>320</v>
          </cell>
          <cell r="F62">
            <v>0.6</v>
          </cell>
        </row>
        <row r="63">
          <cell r="A63">
            <v>2</v>
          </cell>
          <cell r="C63" t="str">
            <v>Хризантема Радость</v>
          </cell>
          <cell r="D63">
            <v>160</v>
          </cell>
          <cell r="F63">
            <v>0.57999999999999996</v>
          </cell>
        </row>
        <row r="64">
          <cell r="A64">
            <v>2</v>
          </cell>
          <cell r="C64" t="str">
            <v>Хризантема Радость крем</v>
          </cell>
          <cell r="D64">
            <v>160</v>
          </cell>
          <cell r="F64">
            <v>0.49</v>
          </cell>
        </row>
        <row r="65">
          <cell r="A65">
            <v>2</v>
          </cell>
          <cell r="C65" t="str">
            <v>Хризантема Сталион</v>
          </cell>
          <cell r="D65">
            <v>160</v>
          </cell>
          <cell r="F65">
            <v>0.52</v>
          </cell>
        </row>
        <row r="66">
          <cell r="A66">
            <v>4</v>
          </cell>
          <cell r="C66" t="str">
            <v>Орхидея белая</v>
          </cell>
          <cell r="D66">
            <v>6</v>
          </cell>
          <cell r="F66">
            <v>9.42</v>
          </cell>
        </row>
        <row r="67">
          <cell r="A67">
            <v>4</v>
          </cell>
          <cell r="C67" t="str">
            <v>Орхидея розовая</v>
          </cell>
          <cell r="D67">
            <v>12</v>
          </cell>
          <cell r="F67">
            <v>9.42</v>
          </cell>
        </row>
        <row r="68">
          <cell r="A68">
            <v>4</v>
          </cell>
          <cell r="C68" t="str">
            <v>Орхидея микс</v>
          </cell>
          <cell r="D68">
            <v>12</v>
          </cell>
          <cell r="F68">
            <v>7.62</v>
          </cell>
        </row>
        <row r="69">
          <cell r="A69">
            <v>6</v>
          </cell>
          <cell r="C69" t="str">
            <v>Лилия махровая белая</v>
          </cell>
          <cell r="D69">
            <v>160</v>
          </cell>
          <cell r="F69">
            <v>1.91</v>
          </cell>
        </row>
        <row r="70">
          <cell r="A70">
            <v>6</v>
          </cell>
          <cell r="C70" t="str">
            <v>AKM13 Лилия белая</v>
          </cell>
          <cell r="D70">
            <v>40</v>
          </cell>
          <cell r="F70">
            <v>1.1000000000000001</v>
          </cell>
        </row>
        <row r="71">
          <cell r="A71">
            <v>6</v>
          </cell>
          <cell r="C71" t="str">
            <v>Лилия розовая</v>
          </cell>
          <cell r="D71">
            <v>80</v>
          </cell>
          <cell r="F71">
            <v>2.21</v>
          </cell>
        </row>
        <row r="72">
          <cell r="A72">
            <v>6</v>
          </cell>
          <cell r="C72" t="str">
            <v>Лилия белая</v>
          </cell>
          <cell r="D72">
            <v>240</v>
          </cell>
          <cell r="F72">
            <v>1.48</v>
          </cell>
        </row>
        <row r="73">
          <cell r="A73">
            <v>8</v>
          </cell>
          <cell r="C73" t="str">
            <v>Аллиум</v>
          </cell>
          <cell r="D73">
            <v>28</v>
          </cell>
          <cell r="F73">
            <v>1.2</v>
          </cell>
        </row>
        <row r="74">
          <cell r="A74">
            <v>8</v>
          </cell>
          <cell r="C74" t="str">
            <v>AKM13 Аллиум</v>
          </cell>
          <cell r="D74">
            <v>100</v>
          </cell>
          <cell r="F74">
            <v>0.01</v>
          </cell>
        </row>
        <row r="75">
          <cell r="A75">
            <v>8</v>
          </cell>
          <cell r="C75" t="str">
            <v>Альстроемерия Чармелия Розовая</v>
          </cell>
          <cell r="D75">
            <v>150</v>
          </cell>
          <cell r="F75">
            <v>0.37</v>
          </cell>
        </row>
        <row r="76">
          <cell r="A76">
            <v>8</v>
          </cell>
          <cell r="C76" t="str">
            <v>Амарант зеленый</v>
          </cell>
          <cell r="D76">
            <v>50</v>
          </cell>
          <cell r="F76">
            <v>1.89</v>
          </cell>
        </row>
        <row r="77">
          <cell r="A77">
            <v>8</v>
          </cell>
          <cell r="C77" t="str">
            <v>Амми</v>
          </cell>
          <cell r="D77">
            <v>75</v>
          </cell>
          <cell r="F77">
            <v>0.55000000000000004</v>
          </cell>
        </row>
        <row r="78">
          <cell r="A78">
            <v>8</v>
          </cell>
          <cell r="C78" t="str">
            <v>Анигозантус желтый</v>
          </cell>
          <cell r="D78">
            <v>120</v>
          </cell>
          <cell r="F78">
            <v>0.18</v>
          </cell>
        </row>
        <row r="79">
          <cell r="A79">
            <v>8</v>
          </cell>
          <cell r="C79" t="str">
            <v>Антуриум белый</v>
          </cell>
          <cell r="D79">
            <v>36</v>
          </cell>
          <cell r="F79">
            <v>1.82</v>
          </cell>
        </row>
        <row r="80">
          <cell r="A80">
            <v>8</v>
          </cell>
          <cell r="C80" t="str">
            <v>Антиринум Розовый</v>
          </cell>
          <cell r="D80">
            <v>120</v>
          </cell>
          <cell r="F80">
            <v>0.52</v>
          </cell>
        </row>
        <row r="81">
          <cell r="A81">
            <v>8</v>
          </cell>
          <cell r="C81" t="str">
            <v>Антиринум красный</v>
          </cell>
          <cell r="D81">
            <v>120</v>
          </cell>
          <cell r="F81">
            <v>0.42</v>
          </cell>
        </row>
        <row r="82">
          <cell r="A82">
            <v>8</v>
          </cell>
          <cell r="C82" t="str">
            <v>Антиринум белый</v>
          </cell>
          <cell r="D82">
            <v>120</v>
          </cell>
          <cell r="F82">
            <v>0.37</v>
          </cell>
        </row>
        <row r="83">
          <cell r="A83">
            <v>8</v>
          </cell>
          <cell r="C83" t="str">
            <v>Антиринум желтый</v>
          </cell>
          <cell r="D83">
            <v>100</v>
          </cell>
          <cell r="F83">
            <v>0.48</v>
          </cell>
        </row>
        <row r="84">
          <cell r="A84">
            <v>8</v>
          </cell>
          <cell r="C84" t="str">
            <v>Астильба красная</v>
          </cell>
          <cell r="D84">
            <v>100</v>
          </cell>
          <cell r="F84">
            <v>0.35</v>
          </cell>
        </row>
        <row r="85">
          <cell r="A85">
            <v>8</v>
          </cell>
          <cell r="C85" t="str">
            <v>Астильба розовая</v>
          </cell>
          <cell r="D85">
            <v>100</v>
          </cell>
          <cell r="F85">
            <v>0.44</v>
          </cell>
        </row>
        <row r="86">
          <cell r="A86">
            <v>8</v>
          </cell>
          <cell r="C86" t="str">
            <v>Бруния</v>
          </cell>
          <cell r="D86">
            <v>50</v>
          </cell>
          <cell r="F86">
            <v>0.49</v>
          </cell>
        </row>
        <row r="87">
          <cell r="A87">
            <v>8</v>
          </cell>
          <cell r="C87" t="str">
            <v>Кампанула лавандовая</v>
          </cell>
          <cell r="D87">
            <v>60</v>
          </cell>
          <cell r="F87">
            <v>0.55000000000000004</v>
          </cell>
        </row>
        <row r="88">
          <cell r="A88">
            <v>8</v>
          </cell>
          <cell r="C88" t="str">
            <v>Кампанула белая</v>
          </cell>
          <cell r="D88">
            <v>60</v>
          </cell>
          <cell r="F88">
            <v>0.55000000000000004</v>
          </cell>
        </row>
        <row r="89">
          <cell r="A89">
            <v>8</v>
          </cell>
          <cell r="C89" t="str">
            <v>Кампанула Зелено-белая</v>
          </cell>
          <cell r="D89">
            <v>30</v>
          </cell>
          <cell r="F89">
            <v>1.74</v>
          </cell>
        </row>
        <row r="90">
          <cell r="A90">
            <v>8</v>
          </cell>
          <cell r="C90" t="str">
            <v>Хамелациум розовый</v>
          </cell>
          <cell r="D90">
            <v>75</v>
          </cell>
          <cell r="F90">
            <v>0.91</v>
          </cell>
        </row>
        <row r="91">
          <cell r="A91">
            <v>8</v>
          </cell>
          <cell r="C91" t="str">
            <v>Хамелациум белый</v>
          </cell>
          <cell r="D91">
            <v>75</v>
          </cell>
          <cell r="F91">
            <v>0.77</v>
          </cell>
        </row>
        <row r="92">
          <cell r="A92">
            <v>8</v>
          </cell>
          <cell r="C92" t="str">
            <v>AKM12 Хамелациум белый</v>
          </cell>
          <cell r="D92">
            <v>50</v>
          </cell>
          <cell r="F92">
            <v>0.64</v>
          </cell>
        </row>
        <row r="93">
          <cell r="A93">
            <v>8</v>
          </cell>
          <cell r="C93" t="str">
            <v>Хамелациум Май Свит</v>
          </cell>
          <cell r="D93">
            <v>50</v>
          </cell>
          <cell r="F93">
            <v>0.61</v>
          </cell>
        </row>
        <row r="94">
          <cell r="A94">
            <v>8</v>
          </cell>
          <cell r="C94" t="str">
            <v>Котинус Роял перпл</v>
          </cell>
          <cell r="D94">
            <v>25</v>
          </cell>
          <cell r="F94">
            <v>0.8</v>
          </cell>
        </row>
        <row r="95">
          <cell r="A95">
            <v>8</v>
          </cell>
          <cell r="C95" t="str">
            <v>Куркума светло-розовая</v>
          </cell>
          <cell r="D95">
            <v>32</v>
          </cell>
          <cell r="F95">
            <v>0.68</v>
          </cell>
        </row>
        <row r="96">
          <cell r="A96">
            <v>8</v>
          </cell>
          <cell r="C96" t="str">
            <v>Дельфиниум лавандовый</v>
          </cell>
          <cell r="D96">
            <v>90</v>
          </cell>
          <cell r="F96">
            <v>1.47</v>
          </cell>
        </row>
        <row r="97">
          <cell r="A97">
            <v>8</v>
          </cell>
          <cell r="C97" t="str">
            <v>Дельфиниум синий</v>
          </cell>
          <cell r="D97">
            <v>80</v>
          </cell>
          <cell r="F97">
            <v>1.8</v>
          </cell>
        </row>
        <row r="98">
          <cell r="A98">
            <v>8</v>
          </cell>
          <cell r="C98" t="str">
            <v>Дельфиниум белый</v>
          </cell>
          <cell r="D98">
            <v>30</v>
          </cell>
          <cell r="F98">
            <v>1.95</v>
          </cell>
        </row>
        <row r="99">
          <cell r="A99">
            <v>8</v>
          </cell>
          <cell r="C99" t="str">
            <v>Дельфиниум фиолетовый</v>
          </cell>
          <cell r="D99">
            <v>30</v>
          </cell>
          <cell r="F99">
            <v>1.9</v>
          </cell>
        </row>
        <row r="100">
          <cell r="A100">
            <v>8</v>
          </cell>
          <cell r="C100" t="str">
            <v>AKM13 Драцена флорида</v>
          </cell>
          <cell r="D100">
            <v>50</v>
          </cell>
          <cell r="F100">
            <v>0.32</v>
          </cell>
        </row>
        <row r="101">
          <cell r="A101">
            <v>8</v>
          </cell>
          <cell r="C101" t="str">
            <v>AKM13 Эрингиум Магнетар</v>
          </cell>
          <cell r="D101">
            <v>60</v>
          </cell>
          <cell r="F101">
            <v>0.32</v>
          </cell>
        </row>
        <row r="102">
          <cell r="A102">
            <v>8</v>
          </cell>
          <cell r="C102" t="str">
            <v>Эрингиум супернова</v>
          </cell>
          <cell r="D102">
            <v>150</v>
          </cell>
          <cell r="F102">
            <v>0.7</v>
          </cell>
        </row>
        <row r="103">
          <cell r="A103">
            <v>8</v>
          </cell>
          <cell r="C103" t="str">
            <v>Эустома Алиса Шампань БИГ САН</v>
          </cell>
          <cell r="D103">
            <v>80</v>
          </cell>
          <cell r="F103">
            <v>1.3</v>
          </cell>
        </row>
        <row r="104">
          <cell r="A104">
            <v>8</v>
          </cell>
          <cell r="C104" t="str">
            <v>Эустома Алиса розовая</v>
          </cell>
          <cell r="D104">
            <v>160</v>
          </cell>
          <cell r="F104">
            <v>1.1299999999999999</v>
          </cell>
        </row>
        <row r="105">
          <cell r="A105">
            <v>8</v>
          </cell>
          <cell r="C105" t="str">
            <v>Эустома Алиса розовая БИГ САН</v>
          </cell>
          <cell r="D105">
            <v>80</v>
          </cell>
          <cell r="F105">
            <v>1.26</v>
          </cell>
        </row>
        <row r="106">
          <cell r="A106">
            <v>8</v>
          </cell>
          <cell r="C106" t="str">
            <v>Эустома Алиса белая БИГ САН</v>
          </cell>
          <cell r="D106">
            <v>80</v>
          </cell>
          <cell r="F106">
            <v>1.29</v>
          </cell>
        </row>
        <row r="107">
          <cell r="A107">
            <v>8</v>
          </cell>
          <cell r="C107" t="str">
            <v>Эустома Алиса белая</v>
          </cell>
          <cell r="D107">
            <v>440</v>
          </cell>
          <cell r="F107">
            <v>1.18</v>
          </cell>
        </row>
        <row r="108">
          <cell r="A108">
            <v>8</v>
          </cell>
          <cell r="C108" t="str">
            <v>Эустома Алиса желтая</v>
          </cell>
          <cell r="D108">
            <v>50</v>
          </cell>
          <cell r="F108">
            <v>1.3</v>
          </cell>
        </row>
        <row r="109">
          <cell r="A109">
            <v>8</v>
          </cell>
          <cell r="C109" t="str">
            <v>Эустома Целеб Квин розовая</v>
          </cell>
          <cell r="D109">
            <v>40</v>
          </cell>
          <cell r="F109">
            <v>1.69</v>
          </cell>
        </row>
        <row r="110">
          <cell r="A110">
            <v>8</v>
          </cell>
          <cell r="C110" t="str">
            <v>Эустома Целеб белая</v>
          </cell>
          <cell r="D110">
            <v>40</v>
          </cell>
          <cell r="F110">
            <v>1.7</v>
          </cell>
        </row>
        <row r="111">
          <cell r="A111">
            <v>8</v>
          </cell>
          <cell r="C111" t="str">
            <v>Эустома Вейдинг Пинк</v>
          </cell>
          <cell r="D111">
            <v>50</v>
          </cell>
          <cell r="F111">
            <v>1.38</v>
          </cell>
        </row>
        <row r="112">
          <cell r="A112">
            <v>8</v>
          </cell>
          <cell r="C112" t="str">
            <v>Эустома сиреневая</v>
          </cell>
          <cell r="D112">
            <v>40</v>
          </cell>
          <cell r="F112">
            <v>1.35</v>
          </cell>
        </row>
        <row r="113">
          <cell r="A113">
            <v>8</v>
          </cell>
          <cell r="C113" t="str">
            <v>Эустома бело-розовая</v>
          </cell>
          <cell r="D113">
            <v>60</v>
          </cell>
          <cell r="F113">
            <v>1.01</v>
          </cell>
        </row>
        <row r="114">
          <cell r="A114">
            <v>8</v>
          </cell>
          <cell r="C114" t="str">
            <v>Эустома светло-розовая БИГ САН</v>
          </cell>
          <cell r="D114">
            <v>200</v>
          </cell>
          <cell r="F114">
            <v>0.9</v>
          </cell>
        </row>
        <row r="115">
          <cell r="A115">
            <v>8</v>
          </cell>
          <cell r="C115" t="str">
            <v>Эустома терракот</v>
          </cell>
          <cell r="D115">
            <v>60</v>
          </cell>
          <cell r="F115">
            <v>1.1599999999999999</v>
          </cell>
        </row>
        <row r="116">
          <cell r="A116">
            <v>8</v>
          </cell>
          <cell r="C116" t="str">
            <v>Эустома зеленая</v>
          </cell>
          <cell r="D116">
            <v>250</v>
          </cell>
          <cell r="F116">
            <v>1.34</v>
          </cell>
        </row>
        <row r="117">
          <cell r="A117">
            <v>8</v>
          </cell>
          <cell r="C117" t="str">
            <v>Эустома бело-синяя</v>
          </cell>
          <cell r="D117">
            <v>40</v>
          </cell>
          <cell r="F117">
            <v>0.96</v>
          </cell>
        </row>
        <row r="118">
          <cell r="A118">
            <v>8</v>
          </cell>
          <cell r="C118" t="str">
            <v>Эустома белая</v>
          </cell>
          <cell r="D118">
            <v>640</v>
          </cell>
          <cell r="F118">
            <v>1.04</v>
          </cell>
        </row>
        <row r="119">
          <cell r="A119">
            <v>8</v>
          </cell>
          <cell r="C119" t="str">
            <v>Эустома Собрина Оранж</v>
          </cell>
          <cell r="D119">
            <v>40</v>
          </cell>
          <cell r="F119">
            <v>1.1200000000000001</v>
          </cell>
        </row>
        <row r="120">
          <cell r="A120">
            <v>8</v>
          </cell>
          <cell r="C120" t="str">
            <v>Фрезия микс</v>
          </cell>
          <cell r="D120">
            <v>100</v>
          </cell>
          <cell r="F120">
            <v>0.54</v>
          </cell>
        </row>
        <row r="121">
          <cell r="A121">
            <v>8</v>
          </cell>
          <cell r="C121" t="str">
            <v>Фрезия белая</v>
          </cell>
          <cell r="D121">
            <v>250</v>
          </cell>
          <cell r="F121">
            <v>0.38</v>
          </cell>
        </row>
        <row r="122">
          <cell r="A122">
            <v>8</v>
          </cell>
          <cell r="C122" t="str">
            <v>Гербера розовая с малиновым центром</v>
          </cell>
          <cell r="D122">
            <v>45</v>
          </cell>
          <cell r="F122">
            <v>0.41</v>
          </cell>
        </row>
        <row r="123">
          <cell r="A123">
            <v>8</v>
          </cell>
          <cell r="C123" t="str">
            <v>Гербера микс</v>
          </cell>
          <cell r="D123">
            <v>135</v>
          </cell>
          <cell r="F123">
            <v>0.47</v>
          </cell>
        </row>
        <row r="124">
          <cell r="A124">
            <v>8</v>
          </cell>
          <cell r="C124" t="str">
            <v>Гербера паста крем</v>
          </cell>
          <cell r="D124">
            <v>45</v>
          </cell>
          <cell r="F124">
            <v>0.45</v>
          </cell>
        </row>
        <row r="125">
          <cell r="A125">
            <v>8</v>
          </cell>
          <cell r="C125" t="str">
            <v>Гербера понпон белая</v>
          </cell>
          <cell r="D125">
            <v>60</v>
          </cell>
          <cell r="F125">
            <v>0.39</v>
          </cell>
        </row>
        <row r="126">
          <cell r="A126">
            <v>8</v>
          </cell>
          <cell r="C126" t="str">
            <v>Гербера помпон пич</v>
          </cell>
          <cell r="D126">
            <v>240</v>
          </cell>
          <cell r="F126">
            <v>0.32</v>
          </cell>
        </row>
        <row r="127">
          <cell r="A127">
            <v>8</v>
          </cell>
          <cell r="C127" t="str">
            <v>Гербера помпон красная</v>
          </cell>
          <cell r="D127">
            <v>60</v>
          </cell>
          <cell r="F127">
            <v>0.21</v>
          </cell>
        </row>
        <row r="128">
          <cell r="A128">
            <v>8</v>
          </cell>
          <cell r="C128" t="str">
            <v>Гербера мини Алекс-Нур</v>
          </cell>
          <cell r="D128">
            <v>160</v>
          </cell>
          <cell r="F128">
            <v>0.22</v>
          </cell>
        </row>
        <row r="129">
          <cell r="A129">
            <v>8</v>
          </cell>
          <cell r="C129" t="str">
            <v>Гербера мини бледно-розовая</v>
          </cell>
          <cell r="D129">
            <v>240</v>
          </cell>
          <cell r="F129">
            <v>0.43</v>
          </cell>
        </row>
        <row r="130">
          <cell r="A130">
            <v>8</v>
          </cell>
          <cell r="C130" t="str">
            <v>Гербера мини розовая</v>
          </cell>
          <cell r="D130">
            <v>160</v>
          </cell>
          <cell r="F130">
            <v>0.25</v>
          </cell>
        </row>
        <row r="131">
          <cell r="A131">
            <v>8</v>
          </cell>
          <cell r="C131" t="str">
            <v>Гербера мини Эспрессо</v>
          </cell>
          <cell r="D131">
            <v>160</v>
          </cell>
          <cell r="F131">
            <v>0.2</v>
          </cell>
        </row>
        <row r="132">
          <cell r="A132">
            <v>8</v>
          </cell>
          <cell r="C132" t="str">
            <v>Гербера мини белая</v>
          </cell>
          <cell r="D132">
            <v>400</v>
          </cell>
          <cell r="F132">
            <v>0.22</v>
          </cell>
        </row>
        <row r="133">
          <cell r="A133">
            <v>8</v>
          </cell>
          <cell r="C133" t="str">
            <v>Гербера мини Талент</v>
          </cell>
          <cell r="D133">
            <v>480</v>
          </cell>
          <cell r="F133">
            <v>0.42</v>
          </cell>
        </row>
        <row r="134">
          <cell r="A134">
            <v>8</v>
          </cell>
          <cell r="C134" t="str">
            <v>Хелеборус белый</v>
          </cell>
          <cell r="D134">
            <v>20</v>
          </cell>
          <cell r="F134">
            <v>1.1499999999999999</v>
          </cell>
        </row>
        <row r="135">
          <cell r="A135">
            <v>8</v>
          </cell>
          <cell r="C135" t="str">
            <v>Гортензия голубая</v>
          </cell>
          <cell r="D135">
            <v>270</v>
          </cell>
          <cell r="F135">
            <v>3.23</v>
          </cell>
        </row>
        <row r="136">
          <cell r="A136">
            <v>8</v>
          </cell>
          <cell r="C136" t="str">
            <v>Гортензия белая</v>
          </cell>
          <cell r="D136">
            <v>160</v>
          </cell>
          <cell r="F136">
            <v>3.49</v>
          </cell>
        </row>
        <row r="137">
          <cell r="A137">
            <v>8</v>
          </cell>
          <cell r="C137" t="str">
            <v>AKM12 Гортензия Мэджик корал</v>
          </cell>
          <cell r="D137">
            <v>10</v>
          </cell>
          <cell r="F137">
            <v>2</v>
          </cell>
        </row>
        <row r="138">
          <cell r="A138">
            <v>8</v>
          </cell>
          <cell r="C138" t="str">
            <v>Гортензия красная</v>
          </cell>
          <cell r="D138">
            <v>50</v>
          </cell>
          <cell r="F138">
            <v>3.12</v>
          </cell>
        </row>
        <row r="139">
          <cell r="A139">
            <v>8</v>
          </cell>
          <cell r="C139" t="str">
            <v>Гортензия Минерва</v>
          </cell>
          <cell r="D139">
            <v>50</v>
          </cell>
          <cell r="F139">
            <v>2.92</v>
          </cell>
        </row>
        <row r="140">
          <cell r="A140">
            <v>8</v>
          </cell>
          <cell r="C140" t="str">
            <v>Гортензия розовая классик</v>
          </cell>
          <cell r="D140">
            <v>30</v>
          </cell>
          <cell r="F140">
            <v>3.14</v>
          </cell>
        </row>
        <row r="141">
          <cell r="A141">
            <v>8</v>
          </cell>
          <cell r="C141" t="str">
            <v>Гортензия розовая</v>
          </cell>
          <cell r="D141">
            <v>200</v>
          </cell>
          <cell r="F141">
            <v>3.34</v>
          </cell>
        </row>
        <row r="142">
          <cell r="A142">
            <v>8</v>
          </cell>
          <cell r="C142" t="str">
            <v>Гортензия малиновая</v>
          </cell>
          <cell r="D142">
            <v>20</v>
          </cell>
          <cell r="F142">
            <v>1.98</v>
          </cell>
        </row>
        <row r="143">
          <cell r="A143">
            <v>8</v>
          </cell>
          <cell r="C143" t="str">
            <v>Гиперикум розовый</v>
          </cell>
          <cell r="D143">
            <v>50</v>
          </cell>
          <cell r="F143">
            <v>0.6</v>
          </cell>
        </row>
        <row r="144">
          <cell r="A144">
            <v>8</v>
          </cell>
          <cell r="C144" t="str">
            <v>Ирис Синий</v>
          </cell>
          <cell r="D144">
            <v>100</v>
          </cell>
          <cell r="F144">
            <v>0.13</v>
          </cell>
        </row>
        <row r="145">
          <cell r="A145">
            <v>8</v>
          </cell>
          <cell r="C145" t="str">
            <v>Ирис белый</v>
          </cell>
          <cell r="D145">
            <v>200</v>
          </cell>
          <cell r="F145">
            <v>0.21</v>
          </cell>
        </row>
        <row r="146">
          <cell r="A146">
            <v>8</v>
          </cell>
          <cell r="C146" t="str">
            <v>Книфофия</v>
          </cell>
          <cell r="D146">
            <v>20</v>
          </cell>
          <cell r="F146">
            <v>1</v>
          </cell>
        </row>
        <row r="147">
          <cell r="A147">
            <v>8</v>
          </cell>
          <cell r="C147" t="str">
            <v>Латирус белый</v>
          </cell>
          <cell r="D147">
            <v>100</v>
          </cell>
          <cell r="F147">
            <v>0.48</v>
          </cell>
        </row>
        <row r="148">
          <cell r="A148">
            <v>8</v>
          </cell>
          <cell r="C148" t="str">
            <v>Леукандендрон айоба Африка</v>
          </cell>
          <cell r="D148">
            <v>60</v>
          </cell>
          <cell r="F148">
            <v>0.74</v>
          </cell>
        </row>
        <row r="149">
          <cell r="A149">
            <v>8</v>
          </cell>
          <cell r="C149" t="str">
            <v>Леукоспернум крашенный красный</v>
          </cell>
          <cell r="D149">
            <v>90</v>
          </cell>
          <cell r="F149">
            <v>1.45</v>
          </cell>
        </row>
        <row r="150">
          <cell r="A150">
            <v>8</v>
          </cell>
          <cell r="C150" t="str">
            <v>Леукоспернум красный</v>
          </cell>
          <cell r="D150">
            <v>30</v>
          </cell>
          <cell r="F150">
            <v>1.42</v>
          </cell>
        </row>
        <row r="151">
          <cell r="A151">
            <v>8</v>
          </cell>
          <cell r="C151" t="str">
            <v>AKM12 Лимониум фиолетовый</v>
          </cell>
          <cell r="D151">
            <v>25</v>
          </cell>
          <cell r="F151">
            <v>0.63</v>
          </cell>
        </row>
        <row r="152">
          <cell r="A152">
            <v>8</v>
          </cell>
          <cell r="C152" t="str">
            <v>AKM13 Статица синяя</v>
          </cell>
          <cell r="D152">
            <v>25</v>
          </cell>
          <cell r="F152">
            <v>0.33</v>
          </cell>
        </row>
        <row r="153">
          <cell r="A153">
            <v>8</v>
          </cell>
          <cell r="C153" t="str">
            <v>AKM12 Статица розовая</v>
          </cell>
          <cell r="D153">
            <v>50</v>
          </cell>
          <cell r="F153">
            <v>0.64</v>
          </cell>
        </row>
        <row r="154">
          <cell r="A154">
            <v>8</v>
          </cell>
          <cell r="C154" t="str">
            <v>AKM13 Статица белая</v>
          </cell>
          <cell r="D154">
            <v>25</v>
          </cell>
          <cell r="F154">
            <v>0.37</v>
          </cell>
        </row>
        <row r="155">
          <cell r="A155">
            <v>8</v>
          </cell>
          <cell r="C155" t="str">
            <v>AKM13 Статица сиреневая</v>
          </cell>
          <cell r="D155">
            <v>25</v>
          </cell>
          <cell r="F155">
            <v>0.32</v>
          </cell>
        </row>
        <row r="156">
          <cell r="A156">
            <v>8</v>
          </cell>
          <cell r="C156" t="str">
            <v>AKM13 Лимониум синий</v>
          </cell>
          <cell r="D156">
            <v>50</v>
          </cell>
          <cell r="F156">
            <v>0.37</v>
          </cell>
        </row>
        <row r="157">
          <cell r="A157">
            <v>8</v>
          </cell>
          <cell r="C157" t="str">
            <v>AKM13 Лимониум белый</v>
          </cell>
          <cell r="D157">
            <v>50</v>
          </cell>
          <cell r="F157">
            <v>0.32</v>
          </cell>
        </row>
        <row r="158">
          <cell r="A158">
            <v>8</v>
          </cell>
          <cell r="C158" t="str">
            <v>Матиола белая</v>
          </cell>
          <cell r="D158">
            <v>600</v>
          </cell>
          <cell r="F158">
            <v>0.4</v>
          </cell>
        </row>
        <row r="159">
          <cell r="A159">
            <v>8</v>
          </cell>
          <cell r="C159" t="str">
            <v>Матиола розовая</v>
          </cell>
          <cell r="D159">
            <v>720</v>
          </cell>
          <cell r="F159">
            <v>0.52</v>
          </cell>
        </row>
        <row r="160">
          <cell r="A160">
            <v>8</v>
          </cell>
          <cell r="C160" t="str">
            <v>Матиола фиолетовая</v>
          </cell>
          <cell r="D160">
            <v>120</v>
          </cell>
          <cell r="F160">
            <v>0.38</v>
          </cell>
        </row>
        <row r="161">
          <cell r="A161">
            <v>8</v>
          </cell>
          <cell r="C161" t="str">
            <v>Матиола Априкот</v>
          </cell>
          <cell r="D161">
            <v>300</v>
          </cell>
          <cell r="F161">
            <v>0.43</v>
          </cell>
        </row>
        <row r="162">
          <cell r="A162">
            <v>8</v>
          </cell>
          <cell r="C162" t="str">
            <v>Нигела голубая, шт</v>
          </cell>
          <cell r="D162">
            <v>150</v>
          </cell>
          <cell r="F162">
            <v>0.46</v>
          </cell>
        </row>
        <row r="163">
          <cell r="A163">
            <v>8</v>
          </cell>
          <cell r="C163" t="str">
            <v>Оксипеталум</v>
          </cell>
          <cell r="D163">
            <v>50</v>
          </cell>
          <cell r="F163">
            <v>0.48</v>
          </cell>
        </row>
        <row r="164">
          <cell r="A164">
            <v>8</v>
          </cell>
          <cell r="C164" t="str">
            <v>Пион Корал Сансет</v>
          </cell>
          <cell r="D164">
            <v>2040</v>
          </cell>
          <cell r="F164">
            <v>1.25</v>
          </cell>
        </row>
        <row r="165">
          <cell r="A165">
            <v>8</v>
          </cell>
          <cell r="C165" t="str">
            <v>AKM12 Пион Корал Сансет</v>
          </cell>
          <cell r="D165">
            <v>40</v>
          </cell>
          <cell r="F165">
            <v>0.61</v>
          </cell>
        </row>
        <row r="166">
          <cell r="A166">
            <v>8</v>
          </cell>
          <cell r="C166" t="str">
            <v>AKM13 Пион Диана</v>
          </cell>
          <cell r="D166">
            <v>40</v>
          </cell>
          <cell r="F166">
            <v>0.57999999999999996</v>
          </cell>
        </row>
        <row r="167">
          <cell r="A167">
            <v>8</v>
          </cell>
          <cell r="C167" t="str">
            <v>AKM12 Пион Алертие</v>
          </cell>
          <cell r="D167">
            <v>60</v>
          </cell>
          <cell r="F167">
            <v>0.71</v>
          </cell>
        </row>
        <row r="168">
          <cell r="A168">
            <v>8</v>
          </cell>
          <cell r="C168" t="str">
            <v>AKM12 Пион Александр Флейминг</v>
          </cell>
          <cell r="D168">
            <v>50</v>
          </cell>
          <cell r="F168">
            <v>0.98</v>
          </cell>
        </row>
        <row r="169">
          <cell r="A169">
            <v>8</v>
          </cell>
          <cell r="C169" t="str">
            <v>AKM12 Пион Дюшес белый</v>
          </cell>
          <cell r="D169">
            <v>40</v>
          </cell>
          <cell r="F169">
            <v>0.61</v>
          </cell>
        </row>
        <row r="170">
          <cell r="A170">
            <v>8</v>
          </cell>
          <cell r="C170" t="str">
            <v>AKM12 Пион Канзас</v>
          </cell>
          <cell r="D170">
            <v>50</v>
          </cell>
          <cell r="F170">
            <v>0.77</v>
          </cell>
        </row>
        <row r="171">
          <cell r="A171">
            <v>8</v>
          </cell>
          <cell r="C171" t="str">
            <v>AKM13 Пион Карл</v>
          </cell>
          <cell r="D171">
            <v>100</v>
          </cell>
          <cell r="F171">
            <v>0.53</v>
          </cell>
        </row>
        <row r="172">
          <cell r="A172">
            <v>8</v>
          </cell>
          <cell r="C172" t="str">
            <v>AKM13 Пион мисс Америка</v>
          </cell>
          <cell r="D172">
            <v>60</v>
          </cell>
          <cell r="F172">
            <v>0.45</v>
          </cell>
        </row>
        <row r="173">
          <cell r="A173">
            <v>8</v>
          </cell>
          <cell r="C173" t="str">
            <v>Пион Сара Бернард</v>
          </cell>
          <cell r="D173">
            <v>1400</v>
          </cell>
          <cell r="F173">
            <v>1.03</v>
          </cell>
        </row>
        <row r="174">
          <cell r="A174">
            <v>8</v>
          </cell>
          <cell r="C174" t="str">
            <v>AKM05 Пион Сара Бернард</v>
          </cell>
          <cell r="D174">
            <v>50</v>
          </cell>
          <cell r="F174">
            <v>0.8</v>
          </cell>
        </row>
        <row r="175">
          <cell r="A175">
            <v>8</v>
          </cell>
          <cell r="C175" t="str">
            <v>AKM06 Пион Сара Бернард</v>
          </cell>
          <cell r="D175">
            <v>50</v>
          </cell>
          <cell r="F175">
            <v>0.98</v>
          </cell>
        </row>
        <row r="176">
          <cell r="A176">
            <v>8</v>
          </cell>
          <cell r="C176" t="str">
            <v>Пион Гардения розовый</v>
          </cell>
          <cell r="D176">
            <v>60</v>
          </cell>
          <cell r="F176">
            <v>0.62</v>
          </cell>
        </row>
        <row r="177">
          <cell r="A177">
            <v>8</v>
          </cell>
          <cell r="C177" t="str">
            <v>Пион Лемон Шифон</v>
          </cell>
          <cell r="D177">
            <v>50</v>
          </cell>
          <cell r="F177">
            <v>1.97</v>
          </cell>
        </row>
        <row r="178">
          <cell r="A178">
            <v>8</v>
          </cell>
          <cell r="C178" t="str">
            <v>Пион Мадам Клауд Тейн</v>
          </cell>
          <cell r="D178">
            <v>350</v>
          </cell>
          <cell r="F178">
            <v>1.3</v>
          </cell>
        </row>
        <row r="179">
          <cell r="A179">
            <v>8</v>
          </cell>
          <cell r="C179" t="str">
            <v>Пион Одиль бело-розовый</v>
          </cell>
          <cell r="D179">
            <v>300</v>
          </cell>
          <cell r="F179">
            <v>0.69</v>
          </cell>
        </row>
        <row r="180">
          <cell r="A180">
            <v>8</v>
          </cell>
          <cell r="C180" t="str">
            <v>Фалеонопсис белый</v>
          </cell>
          <cell r="D180">
            <v>50</v>
          </cell>
          <cell r="F180">
            <v>0.62</v>
          </cell>
        </row>
        <row r="181">
          <cell r="A181">
            <v>8</v>
          </cell>
          <cell r="C181" t="str">
            <v>Протея Бренда</v>
          </cell>
          <cell r="D181">
            <v>40</v>
          </cell>
          <cell r="F181">
            <v>1.55</v>
          </cell>
        </row>
        <row r="182">
          <cell r="A182">
            <v>8</v>
          </cell>
          <cell r="C182" t="str">
            <v>Протея карнавал</v>
          </cell>
          <cell r="D182">
            <v>40</v>
          </cell>
          <cell r="F182">
            <v>1.2</v>
          </cell>
        </row>
        <row r="183">
          <cell r="A183">
            <v>8</v>
          </cell>
          <cell r="C183" t="str">
            <v>Протея Мадиба</v>
          </cell>
          <cell r="D183">
            <v>10</v>
          </cell>
          <cell r="F183">
            <v>4.22</v>
          </cell>
        </row>
        <row r="184">
          <cell r="A184">
            <v>8</v>
          </cell>
          <cell r="C184" t="str">
            <v>Ранункулус баттерфляй розовый</v>
          </cell>
          <cell r="D184">
            <v>80</v>
          </cell>
          <cell r="F184">
            <v>1.64</v>
          </cell>
        </row>
        <row r="185">
          <cell r="A185">
            <v>8</v>
          </cell>
          <cell r="C185" t="str">
            <v>AKM13 Ранункулус клуни Ханой</v>
          </cell>
          <cell r="D185">
            <v>90</v>
          </cell>
          <cell r="F185">
            <v>2.1799999999999997</v>
          </cell>
        </row>
        <row r="186">
          <cell r="A186">
            <v>8</v>
          </cell>
          <cell r="C186" t="str">
            <v>Скабиоза черная</v>
          </cell>
          <cell r="D186">
            <v>60</v>
          </cell>
          <cell r="F186">
            <v>0.79</v>
          </cell>
        </row>
        <row r="187">
          <cell r="A187">
            <v>8</v>
          </cell>
          <cell r="C187" t="str">
            <v>Скабиоза белая</v>
          </cell>
          <cell r="D187">
            <v>60</v>
          </cell>
          <cell r="F187">
            <v>0.74</v>
          </cell>
        </row>
        <row r="188">
          <cell r="A188">
            <v>8</v>
          </cell>
          <cell r="C188" t="str">
            <v>Скабиоза лавандовая</v>
          </cell>
          <cell r="D188">
            <v>60</v>
          </cell>
          <cell r="F188">
            <v>0.73</v>
          </cell>
        </row>
        <row r="189">
          <cell r="A189">
            <v>8</v>
          </cell>
          <cell r="C189" t="str">
            <v>Солидаго</v>
          </cell>
          <cell r="D189">
            <v>50</v>
          </cell>
          <cell r="F189">
            <v>0.49</v>
          </cell>
        </row>
        <row r="190">
          <cell r="A190">
            <v>8</v>
          </cell>
          <cell r="C190" t="str">
            <v>Стрелиция</v>
          </cell>
          <cell r="D190">
            <v>12</v>
          </cell>
          <cell r="F190">
            <v>1.67</v>
          </cell>
        </row>
        <row r="191">
          <cell r="A191">
            <v>8</v>
          </cell>
          <cell r="C191" t="str">
            <v>Танацетум</v>
          </cell>
          <cell r="D191">
            <v>1200</v>
          </cell>
          <cell r="F191">
            <v>0.48</v>
          </cell>
        </row>
        <row r="192">
          <cell r="A192">
            <v>8</v>
          </cell>
          <cell r="C192" t="str">
            <v>Тюльпан белый</v>
          </cell>
          <cell r="D192">
            <v>50</v>
          </cell>
          <cell r="F192">
            <v>0.68</v>
          </cell>
        </row>
        <row r="193">
          <cell r="A193">
            <v>8</v>
          </cell>
          <cell r="C193" t="str">
            <v>Вибурнум Росеум</v>
          </cell>
          <cell r="D193">
            <v>240</v>
          </cell>
          <cell r="F193">
            <v>2.3499999999999996</v>
          </cell>
        </row>
        <row r="194">
          <cell r="A194">
            <v>8</v>
          </cell>
          <cell r="C194" t="str">
            <v>Калла белая</v>
          </cell>
          <cell r="D194">
            <v>120</v>
          </cell>
          <cell r="F194">
            <v>1.51</v>
          </cell>
        </row>
        <row r="195">
          <cell r="A195">
            <v>8</v>
          </cell>
          <cell r="C195" t="str">
            <v>Калла розовая</v>
          </cell>
          <cell r="D195">
            <v>120</v>
          </cell>
          <cell r="F195">
            <v>0.96</v>
          </cell>
        </row>
        <row r="196">
          <cell r="A196">
            <v>8</v>
          </cell>
          <cell r="C196" t="str">
            <v>Калла черная</v>
          </cell>
          <cell r="D196">
            <v>40</v>
          </cell>
          <cell r="F196">
            <v>1.05</v>
          </cell>
        </row>
        <row r="197">
          <cell r="A197">
            <v>8</v>
          </cell>
          <cell r="C197" t="str">
            <v>Калла бордовая</v>
          </cell>
          <cell r="D197">
            <v>40</v>
          </cell>
          <cell r="F197">
            <v>1.1399999999999999</v>
          </cell>
        </row>
        <row r="198">
          <cell r="A198">
            <v>8</v>
          </cell>
          <cell r="C198" t="str">
            <v>AKM13 Калла Раноми</v>
          </cell>
          <cell r="D198">
            <v>20</v>
          </cell>
          <cell r="F198">
            <v>0.49</v>
          </cell>
        </row>
        <row r="199">
          <cell r="A199">
            <v>8</v>
          </cell>
          <cell r="C199" t="str">
            <v>Калла Кептен Вентура белая</v>
          </cell>
          <cell r="D199">
            <v>40</v>
          </cell>
          <cell r="F199">
            <v>1.91</v>
          </cell>
        </row>
        <row r="200">
          <cell r="A200">
            <v>1</v>
          </cell>
          <cell r="C200" t="str">
            <v>FGGD01 Роза ветвистая Бала 50</v>
          </cell>
          <cell r="D200">
            <v>20</v>
          </cell>
          <cell r="F200">
            <v>0.95</v>
          </cell>
        </row>
        <row r="201">
          <cell r="A201">
            <v>1</v>
          </cell>
          <cell r="C201" t="str">
            <v>FGGD11-14 Роза дэвид аустин шарити 50</v>
          </cell>
          <cell r="D201">
            <v>48</v>
          </cell>
          <cell r="F201">
            <v>2.65</v>
          </cell>
        </row>
        <row r="202">
          <cell r="A202">
            <v>1</v>
          </cell>
          <cell r="C202" t="str">
            <v>FGGD11-14 Роза дэвид аустин Евгений 50</v>
          </cell>
          <cell r="D202">
            <v>12</v>
          </cell>
          <cell r="F202">
            <v>2.71</v>
          </cell>
        </row>
        <row r="203">
          <cell r="A203">
            <v>1</v>
          </cell>
          <cell r="C203" t="str">
            <v>FGGD11-14 Роза принцесс мая 50</v>
          </cell>
          <cell r="D203">
            <v>12</v>
          </cell>
          <cell r="F203">
            <v>1.75</v>
          </cell>
        </row>
        <row r="204">
          <cell r="A204">
            <v>1</v>
          </cell>
          <cell r="C204" t="str">
            <v>FGGD11-14 Роза кэнделайт 60</v>
          </cell>
          <cell r="D204">
            <v>25</v>
          </cell>
          <cell r="F204">
            <v>1.35</v>
          </cell>
        </row>
        <row r="205">
          <cell r="A205">
            <v>1</v>
          </cell>
          <cell r="C205" t="str">
            <v>FGGD01 Роза ветвистая Белла Трендсетер NL 60</v>
          </cell>
          <cell r="D205">
            <v>20</v>
          </cell>
          <cell r="F205">
            <v>2.02</v>
          </cell>
        </row>
        <row r="206">
          <cell r="A206">
            <v>1</v>
          </cell>
          <cell r="C206" t="str">
            <v>FGGD01 Роза ветвистая Бёрдс Нэтс 60</v>
          </cell>
          <cell r="D206">
            <v>50</v>
          </cell>
          <cell r="F206">
            <v>1.51</v>
          </cell>
        </row>
        <row r="207">
          <cell r="A207">
            <v>1</v>
          </cell>
          <cell r="C207" t="str">
            <v>FGGD01 Роза ветвистая Ферст Дейт NL 60</v>
          </cell>
          <cell r="D207">
            <v>30</v>
          </cell>
          <cell r="F207">
            <v>1.46</v>
          </cell>
        </row>
        <row r="208">
          <cell r="A208">
            <v>1</v>
          </cell>
          <cell r="C208" t="str">
            <v>FGGD11-14 Роза Квиксэнд NL 70</v>
          </cell>
          <cell r="D208">
            <v>75</v>
          </cell>
          <cell r="F208">
            <v>1.4</v>
          </cell>
        </row>
        <row r="209">
          <cell r="A209">
            <v>1</v>
          </cell>
          <cell r="C209" t="str">
            <v>FGGD01 Роза ветвистая Ферст Дейт NL 70</v>
          </cell>
          <cell r="D209">
            <v>50</v>
          </cell>
          <cell r="F209">
            <v>1.87</v>
          </cell>
        </row>
        <row r="210">
          <cell r="A210">
            <v>1</v>
          </cell>
          <cell r="C210" t="str">
            <v>FGGD11-14 Роза ветвистая Нотре Дам NL 70</v>
          </cell>
          <cell r="D210">
            <v>120</v>
          </cell>
          <cell r="F210">
            <v>2.19</v>
          </cell>
        </row>
        <row r="211">
          <cell r="A211">
            <v>1</v>
          </cell>
          <cell r="C211" t="str">
            <v>FGGD11-14 Роза ветвистая Роял Блаш NL 70</v>
          </cell>
          <cell r="D211">
            <v>20</v>
          </cell>
          <cell r="F211">
            <v>3.02</v>
          </cell>
        </row>
        <row r="212">
          <cell r="A212">
            <v>2</v>
          </cell>
          <cell r="C212" t="str">
            <v>FGGD11-14 Хризантема 1 Антонов</v>
          </cell>
          <cell r="D212">
            <v>180</v>
          </cell>
          <cell r="F212">
            <v>0.37</v>
          </cell>
        </row>
        <row r="213">
          <cell r="A213">
            <v>2</v>
          </cell>
          <cell r="C213" t="str">
            <v>Хризантема 1 Антонов</v>
          </cell>
          <cell r="D213">
            <v>360</v>
          </cell>
          <cell r="F213">
            <v>0.44</v>
          </cell>
        </row>
        <row r="214">
          <cell r="A214">
            <v>2</v>
          </cell>
          <cell r="C214" t="str">
            <v>FGGD11-14 Хризантема 1 Ханимун</v>
          </cell>
          <cell r="D214">
            <v>120</v>
          </cell>
          <cell r="F214">
            <v>0.6</v>
          </cell>
        </row>
        <row r="215">
          <cell r="A215">
            <v>2</v>
          </cell>
          <cell r="C215" t="str">
            <v>FGGD11-14 Хризантема 1 Магнум</v>
          </cell>
          <cell r="D215">
            <v>120</v>
          </cell>
          <cell r="F215">
            <v>0.39</v>
          </cell>
        </row>
        <row r="216">
          <cell r="A216">
            <v>2</v>
          </cell>
          <cell r="C216" t="str">
            <v>FGGD11-14 Хризантема 1 Туту</v>
          </cell>
          <cell r="D216">
            <v>360</v>
          </cell>
          <cell r="F216">
            <v>0.47000000000000003</v>
          </cell>
        </row>
        <row r="217">
          <cell r="A217">
            <v>2</v>
          </cell>
          <cell r="C217" t="str">
            <v>FGGD08 Хризантема сантини лоусон</v>
          </cell>
          <cell r="D217">
            <v>25</v>
          </cell>
          <cell r="F217">
            <v>0.44</v>
          </cell>
        </row>
        <row r="218">
          <cell r="A218">
            <v>2</v>
          </cell>
          <cell r="C218" t="str">
            <v>FGGD11-14 Хризантема Сантини Росси пинк</v>
          </cell>
          <cell r="D218">
            <v>75</v>
          </cell>
          <cell r="F218">
            <v>0.54</v>
          </cell>
        </row>
        <row r="219">
          <cell r="A219">
            <v>2</v>
          </cell>
          <cell r="C219" t="str">
            <v>FGGD11-14 Хризантема 1 Алемани</v>
          </cell>
          <cell r="D219">
            <v>80</v>
          </cell>
          <cell r="F219">
            <v>0.43</v>
          </cell>
        </row>
        <row r="220">
          <cell r="A220">
            <v>2</v>
          </cell>
          <cell r="C220" t="str">
            <v>FGGD11-14 Хризантема Алтай</v>
          </cell>
          <cell r="D220">
            <v>3080</v>
          </cell>
          <cell r="F220">
            <v>0.65</v>
          </cell>
        </row>
        <row r="221">
          <cell r="A221">
            <v>2</v>
          </cell>
          <cell r="C221" t="str">
            <v>FGGD11-14 Хризантема Балтика</v>
          </cell>
          <cell r="D221">
            <v>1660</v>
          </cell>
          <cell r="F221">
            <v>0.6</v>
          </cell>
        </row>
        <row r="222">
          <cell r="A222">
            <v>2</v>
          </cell>
          <cell r="C222" t="str">
            <v>FGGD11-14 Хризантема Шик</v>
          </cell>
          <cell r="D222">
            <v>640</v>
          </cell>
          <cell r="F222">
            <v>0.46</v>
          </cell>
        </row>
        <row r="223">
          <cell r="A223">
            <v>2</v>
          </cell>
          <cell r="C223" t="str">
            <v>FGGD11-14 Хризантема делигрин</v>
          </cell>
          <cell r="D223">
            <v>140</v>
          </cell>
          <cell r="F223">
            <v>0.48</v>
          </cell>
        </row>
        <row r="224">
          <cell r="A224">
            <v>2</v>
          </cell>
          <cell r="C224" t="str">
            <v>FGGD11-14 Хризантема фабиен свит</v>
          </cell>
          <cell r="D224">
            <v>320</v>
          </cell>
          <cell r="F224">
            <v>0.55000000000000004</v>
          </cell>
        </row>
        <row r="225">
          <cell r="A225">
            <v>2</v>
          </cell>
          <cell r="C225" t="str">
            <v>FGGD11-14 Хризантема кеннеди</v>
          </cell>
          <cell r="D225">
            <v>2560</v>
          </cell>
          <cell r="F225">
            <v>0.47000000000000003</v>
          </cell>
        </row>
        <row r="226">
          <cell r="A226">
            <v>2</v>
          </cell>
          <cell r="C226" t="str">
            <v>FGGD11-14 Хризантема ньютон</v>
          </cell>
          <cell r="D226">
            <v>160</v>
          </cell>
          <cell r="F226">
            <v>0.98</v>
          </cell>
        </row>
        <row r="227">
          <cell r="A227">
            <v>2</v>
          </cell>
          <cell r="C227" t="str">
            <v>FGGD11-14 Хризантема пастель сальмон</v>
          </cell>
          <cell r="D227">
            <v>80</v>
          </cell>
          <cell r="F227">
            <v>0.46</v>
          </cell>
        </row>
        <row r="228">
          <cell r="A228">
            <v>2</v>
          </cell>
          <cell r="C228" t="str">
            <v>FGGD11-14 Хризантема пина колада</v>
          </cell>
          <cell r="D228">
            <v>160</v>
          </cell>
          <cell r="F228">
            <v>0.41</v>
          </cell>
        </row>
        <row r="229">
          <cell r="A229">
            <v>2</v>
          </cell>
          <cell r="C229" t="str">
            <v>FGGD11-14 Хризантема Шугабани</v>
          </cell>
          <cell r="D229">
            <v>40</v>
          </cell>
          <cell r="F229">
            <v>0.61</v>
          </cell>
        </row>
        <row r="230">
          <cell r="A230">
            <v>4</v>
          </cell>
          <cell r="C230" t="str">
            <v>FGGD11-14 Фалеонопсис белый</v>
          </cell>
          <cell r="D230">
            <v>72</v>
          </cell>
          <cell r="F230">
            <v>9.07</v>
          </cell>
        </row>
        <row r="231">
          <cell r="A231">
            <v>6</v>
          </cell>
          <cell r="C231" t="str">
            <v>FGGD08 Лилия лонги белая</v>
          </cell>
          <cell r="D231">
            <v>20</v>
          </cell>
          <cell r="F231">
            <v>0.82</v>
          </cell>
        </row>
        <row r="232">
          <cell r="A232">
            <v>6</v>
          </cell>
          <cell r="C232" t="str">
            <v>FGGD11-14 Лилия белая</v>
          </cell>
          <cell r="D232">
            <v>70</v>
          </cell>
          <cell r="F232">
            <v>1.55</v>
          </cell>
        </row>
        <row r="233">
          <cell r="A233">
            <v>8</v>
          </cell>
          <cell r="C233" t="str">
            <v>FGGD11-14 Аллиум сиреневый</v>
          </cell>
          <cell r="D233">
            <v>120</v>
          </cell>
          <cell r="F233">
            <v>0.46</v>
          </cell>
        </row>
        <row r="234">
          <cell r="A234">
            <v>8</v>
          </cell>
          <cell r="C234" t="str">
            <v>FGGD11-14 Астильба красная</v>
          </cell>
          <cell r="D234">
            <v>70</v>
          </cell>
          <cell r="F234">
            <v>0.53</v>
          </cell>
        </row>
        <row r="235">
          <cell r="A235">
            <v>8</v>
          </cell>
          <cell r="C235" t="str">
            <v>FGGD08 Кампанула лавандовая</v>
          </cell>
          <cell r="D235">
            <v>20</v>
          </cell>
          <cell r="F235">
            <v>0.9</v>
          </cell>
        </row>
        <row r="236">
          <cell r="A236">
            <v>8</v>
          </cell>
          <cell r="C236" t="str">
            <v>FGGD08 Целозия зеленая</v>
          </cell>
          <cell r="D236">
            <v>20</v>
          </cell>
          <cell r="F236">
            <v>0.88</v>
          </cell>
        </row>
        <row r="237">
          <cell r="A237">
            <v>8</v>
          </cell>
          <cell r="C237" t="str">
            <v>FGGD08 Целозия оранжевая</v>
          </cell>
          <cell r="D237">
            <v>10</v>
          </cell>
          <cell r="F237">
            <v>0.76</v>
          </cell>
        </row>
        <row r="238">
          <cell r="A238">
            <v>8</v>
          </cell>
          <cell r="C238" t="str">
            <v>FGGD08 Клематис синий</v>
          </cell>
          <cell r="D238">
            <v>10</v>
          </cell>
          <cell r="F238">
            <v>0.45</v>
          </cell>
        </row>
        <row r="239">
          <cell r="A239">
            <v>8</v>
          </cell>
          <cell r="C239" t="str">
            <v>FGGD08 Амми красный</v>
          </cell>
          <cell r="D239">
            <v>20</v>
          </cell>
          <cell r="F239">
            <v>0.45</v>
          </cell>
        </row>
        <row r="240">
          <cell r="A240">
            <v>8</v>
          </cell>
          <cell r="C240" t="str">
            <v>FGGD08 Дельфиниум лавандовый</v>
          </cell>
          <cell r="D240">
            <v>20</v>
          </cell>
          <cell r="F240">
            <v>1.72</v>
          </cell>
        </row>
        <row r="241">
          <cell r="A241">
            <v>8</v>
          </cell>
          <cell r="C241" t="str">
            <v>FGGD11-14 Эрингиум</v>
          </cell>
          <cell r="D241">
            <v>30</v>
          </cell>
          <cell r="F241">
            <v>0.45</v>
          </cell>
        </row>
        <row r="242">
          <cell r="A242">
            <v>8</v>
          </cell>
          <cell r="C242" t="str">
            <v>FGGD08 Эустома алиса белая</v>
          </cell>
          <cell r="D242">
            <v>20</v>
          </cell>
          <cell r="F242">
            <v>1.43</v>
          </cell>
        </row>
        <row r="243">
          <cell r="A243">
            <v>8</v>
          </cell>
          <cell r="C243" t="str">
            <v>FGGD01 Эустома Алиса апркот</v>
          </cell>
          <cell r="D243">
            <v>40</v>
          </cell>
          <cell r="F243">
            <v>1.4</v>
          </cell>
        </row>
        <row r="244">
          <cell r="A244">
            <v>8</v>
          </cell>
          <cell r="C244" t="str">
            <v>FGGD11-14 Эустома Алиса розовая</v>
          </cell>
          <cell r="D244">
            <v>40</v>
          </cell>
          <cell r="F244">
            <v>1.28</v>
          </cell>
        </row>
        <row r="245">
          <cell r="A245">
            <v>8</v>
          </cell>
          <cell r="C245" t="str">
            <v>FGGD01 Эустома Алиса пич</v>
          </cell>
          <cell r="D245">
            <v>60</v>
          </cell>
          <cell r="F245">
            <v>1.42</v>
          </cell>
        </row>
        <row r="246">
          <cell r="A246">
            <v>8</v>
          </cell>
          <cell r="C246" t="str">
            <v>FGGD01 Эустома алиса белая</v>
          </cell>
          <cell r="D246">
            <v>40</v>
          </cell>
          <cell r="F246">
            <v>1.27</v>
          </cell>
        </row>
        <row r="247">
          <cell r="A247">
            <v>8</v>
          </cell>
          <cell r="C247" t="str">
            <v>FGGD11-14 Эустома алиса белая</v>
          </cell>
          <cell r="D247">
            <v>40</v>
          </cell>
          <cell r="F247">
            <v>1.28</v>
          </cell>
        </row>
        <row r="248">
          <cell r="A248">
            <v>8</v>
          </cell>
          <cell r="C248" t="str">
            <v>FGGD11-14 Эустома Вейдинг Пинк</v>
          </cell>
          <cell r="D248">
            <v>80</v>
          </cell>
          <cell r="F248">
            <v>1.6</v>
          </cell>
        </row>
        <row r="249">
          <cell r="A249">
            <v>8</v>
          </cell>
          <cell r="C249" t="str">
            <v>FGGD11-14 Эустома Софт пинк</v>
          </cell>
          <cell r="D249">
            <v>80</v>
          </cell>
          <cell r="F249">
            <v>1.48</v>
          </cell>
        </row>
        <row r="250">
          <cell r="A250">
            <v>8</v>
          </cell>
          <cell r="C250" t="str">
            <v>FGGD11-14 Эустома белая</v>
          </cell>
          <cell r="D250">
            <v>80</v>
          </cell>
          <cell r="F250">
            <v>1.41</v>
          </cell>
        </row>
        <row r="251">
          <cell r="A251">
            <v>8</v>
          </cell>
          <cell r="C251" t="str">
            <v>FGGD01 Фрезия белая</v>
          </cell>
          <cell r="D251">
            <v>200</v>
          </cell>
          <cell r="F251">
            <v>0.53</v>
          </cell>
        </row>
        <row r="252">
          <cell r="A252">
            <v>8</v>
          </cell>
          <cell r="C252" t="str">
            <v>FGGD11-14 Фрезия белая</v>
          </cell>
          <cell r="D252">
            <v>100</v>
          </cell>
          <cell r="F252">
            <v>0.46</v>
          </cell>
        </row>
        <row r="253">
          <cell r="A253">
            <v>8</v>
          </cell>
          <cell r="C253" t="str">
            <v>FGGD11-14 Гербера микс</v>
          </cell>
          <cell r="D253">
            <v>432</v>
          </cell>
          <cell r="F253">
            <v>0.34</v>
          </cell>
        </row>
        <row r="254">
          <cell r="A254">
            <v>8</v>
          </cell>
          <cell r="C254" t="str">
            <v>FGGD08 Гербера паста маринара</v>
          </cell>
          <cell r="D254">
            <v>45</v>
          </cell>
          <cell r="F254">
            <v>0.61</v>
          </cell>
        </row>
        <row r="255">
          <cell r="A255">
            <v>8</v>
          </cell>
          <cell r="C255" t="str">
            <v>FGGD09 Геликония</v>
          </cell>
          <cell r="D255">
            <v>20</v>
          </cell>
          <cell r="F255">
            <v>1.1000000000000001</v>
          </cell>
        </row>
        <row r="256">
          <cell r="A256">
            <v>8</v>
          </cell>
          <cell r="C256" t="str">
            <v>FGGD08 Гортензия революшин</v>
          </cell>
          <cell r="D256">
            <v>10</v>
          </cell>
          <cell r="F256">
            <v>2.68</v>
          </cell>
        </row>
        <row r="257">
          <cell r="A257">
            <v>8</v>
          </cell>
          <cell r="C257" t="str">
            <v>FGGD11-14 Гортензия белая</v>
          </cell>
          <cell r="D257">
            <v>100</v>
          </cell>
          <cell r="F257">
            <v>4.3599999999999994</v>
          </cell>
        </row>
        <row r="258">
          <cell r="A258">
            <v>8</v>
          </cell>
          <cell r="C258" t="str">
            <v>FGGD08 Гортензия Синсация сиреневая</v>
          </cell>
          <cell r="D258">
            <v>10</v>
          </cell>
          <cell r="F258">
            <v>2.86</v>
          </cell>
        </row>
        <row r="259">
          <cell r="A259">
            <v>8</v>
          </cell>
          <cell r="C259" t="str">
            <v>FGGD11-14 Ирис синий</v>
          </cell>
          <cell r="D259">
            <v>100</v>
          </cell>
          <cell r="F259">
            <v>0.22</v>
          </cell>
        </row>
        <row r="260">
          <cell r="A260">
            <v>8</v>
          </cell>
          <cell r="C260" t="str">
            <v>FGGD01 Статица априкот</v>
          </cell>
          <cell r="D260">
            <v>25</v>
          </cell>
          <cell r="F260">
            <v>0.89</v>
          </cell>
        </row>
        <row r="261">
          <cell r="A261">
            <v>8</v>
          </cell>
          <cell r="C261" t="str">
            <v>FGGD01 Статица пич</v>
          </cell>
          <cell r="D261">
            <v>25</v>
          </cell>
          <cell r="F261">
            <v>1.07</v>
          </cell>
        </row>
        <row r="262">
          <cell r="A262">
            <v>8</v>
          </cell>
          <cell r="C262" t="str">
            <v>FGGD11-14 Матиола белая</v>
          </cell>
          <cell r="D262">
            <v>40</v>
          </cell>
          <cell r="F262">
            <v>0.79</v>
          </cell>
        </row>
        <row r="263">
          <cell r="A263">
            <v>8</v>
          </cell>
          <cell r="C263" t="str">
            <v>FGGD11-14 Матиола сиреневая</v>
          </cell>
          <cell r="D263">
            <v>40</v>
          </cell>
          <cell r="F263">
            <v>0.56000000000000005</v>
          </cell>
        </row>
        <row r="264">
          <cell r="A264">
            <v>8</v>
          </cell>
          <cell r="C264" t="str">
            <v>FGGD08 Матиола Априкот</v>
          </cell>
          <cell r="D264">
            <v>20</v>
          </cell>
          <cell r="F264">
            <v>0.91</v>
          </cell>
        </row>
        <row r="265">
          <cell r="A265">
            <v>8</v>
          </cell>
          <cell r="C265" t="str">
            <v>FGGD08 Оксипеталум</v>
          </cell>
          <cell r="D265">
            <v>50</v>
          </cell>
          <cell r="F265">
            <v>0.75</v>
          </cell>
        </row>
        <row r="266">
          <cell r="A266">
            <v>8</v>
          </cell>
          <cell r="C266" t="str">
            <v>FGGD08 Пион Корал Сансет</v>
          </cell>
          <cell r="D266">
            <v>70</v>
          </cell>
          <cell r="F266">
            <v>1.1100000000000001</v>
          </cell>
        </row>
        <row r="267">
          <cell r="A267">
            <v>8</v>
          </cell>
          <cell r="C267" t="str">
            <v>FGGD09 Пион Корал Сансет</v>
          </cell>
          <cell r="D267">
            <v>30</v>
          </cell>
          <cell r="F267">
            <v>1.26</v>
          </cell>
        </row>
        <row r="268">
          <cell r="A268">
            <v>8</v>
          </cell>
          <cell r="C268" t="str">
            <v>FGGD11-14 Пион канзас</v>
          </cell>
          <cell r="D268">
            <v>90</v>
          </cell>
          <cell r="F268">
            <v>0.67</v>
          </cell>
        </row>
        <row r="269">
          <cell r="A269">
            <v>8</v>
          </cell>
          <cell r="C269" t="str">
            <v>FGGD11-14 Пион Алертие</v>
          </cell>
          <cell r="D269">
            <v>140</v>
          </cell>
          <cell r="F269">
            <v>0.64</v>
          </cell>
        </row>
        <row r="270">
          <cell r="A270">
            <v>8</v>
          </cell>
          <cell r="C270" t="str">
            <v>FGGD11-14 Пион Боул оф Крем</v>
          </cell>
          <cell r="D270">
            <v>40</v>
          </cell>
          <cell r="F270">
            <v>1.89</v>
          </cell>
        </row>
        <row r="271">
          <cell r="A271">
            <v>8</v>
          </cell>
          <cell r="C271" t="str">
            <v>FGGD11-14 Пион Фонтайн</v>
          </cell>
          <cell r="D271">
            <v>40</v>
          </cell>
          <cell r="F271">
            <v>0.81</v>
          </cell>
        </row>
        <row r="272">
          <cell r="A272">
            <v>8</v>
          </cell>
          <cell r="C272" t="str">
            <v>FGGD11-14 Пион Мадам Клауд Тейн</v>
          </cell>
          <cell r="D272">
            <v>50</v>
          </cell>
          <cell r="F272">
            <v>2.15</v>
          </cell>
        </row>
        <row r="273">
          <cell r="A273">
            <v>8</v>
          </cell>
          <cell r="C273" t="str">
            <v>FGGD08 Пион Одиль</v>
          </cell>
          <cell r="D273">
            <v>40</v>
          </cell>
          <cell r="F273">
            <v>1.3</v>
          </cell>
        </row>
        <row r="274">
          <cell r="A274">
            <v>8</v>
          </cell>
          <cell r="C274" t="str">
            <v>FGGD11-14 Пион Шерил Темплер</v>
          </cell>
          <cell r="D274">
            <v>50</v>
          </cell>
          <cell r="F274">
            <v>0.75</v>
          </cell>
        </row>
        <row r="275">
          <cell r="A275">
            <v>8</v>
          </cell>
          <cell r="C275" t="str">
            <v>FGGD11-14 Пион Ред Шарм</v>
          </cell>
          <cell r="D275">
            <v>20</v>
          </cell>
          <cell r="F275">
            <v>0.67</v>
          </cell>
        </row>
        <row r="276">
          <cell r="A276">
            <v>8</v>
          </cell>
          <cell r="C276" t="str">
            <v>FGGD11-14 Пион Сара Бернард</v>
          </cell>
          <cell r="D276">
            <v>50</v>
          </cell>
          <cell r="F276">
            <v>0.91</v>
          </cell>
        </row>
        <row r="277">
          <cell r="A277">
            <v>8</v>
          </cell>
          <cell r="C277" t="str">
            <v>FGGD08 Пион Сара Бернард</v>
          </cell>
          <cell r="D277">
            <v>60</v>
          </cell>
          <cell r="F277">
            <v>1.1399999999999999</v>
          </cell>
        </row>
        <row r="278">
          <cell r="A278">
            <v>8</v>
          </cell>
          <cell r="C278" t="str">
            <v>FGGD08 Сангвисорба красная</v>
          </cell>
          <cell r="D278">
            <v>75</v>
          </cell>
          <cell r="F278">
            <v>0.44</v>
          </cell>
        </row>
        <row r="279">
          <cell r="A279">
            <v>8</v>
          </cell>
          <cell r="C279" t="str">
            <v>FGGD01 Танацетум</v>
          </cell>
          <cell r="D279">
            <v>25</v>
          </cell>
          <cell r="F279">
            <v>0.74</v>
          </cell>
        </row>
        <row r="280">
          <cell r="A280">
            <v>8</v>
          </cell>
          <cell r="C280" t="str">
            <v>FGGD01 Танацетум Сапфир</v>
          </cell>
          <cell r="D280">
            <v>300</v>
          </cell>
          <cell r="F280">
            <v>0.72</v>
          </cell>
        </row>
        <row r="281">
          <cell r="A281">
            <v>8</v>
          </cell>
          <cell r="C281" t="str">
            <v>FGGD08 Танацетум Сапфир</v>
          </cell>
          <cell r="D281">
            <v>100</v>
          </cell>
          <cell r="F281">
            <v>0.72</v>
          </cell>
        </row>
        <row r="282">
          <cell r="A282">
            <v>8</v>
          </cell>
          <cell r="C282" t="str">
            <v>FGGD09 Танацетум</v>
          </cell>
          <cell r="D282">
            <v>25</v>
          </cell>
          <cell r="F282">
            <v>0.52</v>
          </cell>
        </row>
        <row r="283">
          <cell r="A283">
            <v>8</v>
          </cell>
          <cell r="C283" t="str">
            <v>FGGD11-14 Танацетум</v>
          </cell>
          <cell r="D283">
            <v>100</v>
          </cell>
          <cell r="F283">
            <v>0.56000000000000005</v>
          </cell>
        </row>
        <row r="284">
          <cell r="A284">
            <v>8</v>
          </cell>
          <cell r="C284" t="str">
            <v>FGGD11-14 Тюльпан Адор</v>
          </cell>
          <cell r="D284">
            <v>50</v>
          </cell>
          <cell r="F284">
            <v>0.34</v>
          </cell>
        </row>
        <row r="285">
          <cell r="A285">
            <v>8</v>
          </cell>
          <cell r="C285" t="str">
            <v>FGGD11-14 Тюльпан Валдивия</v>
          </cell>
          <cell r="D285">
            <v>50</v>
          </cell>
          <cell r="F285">
            <v>0.38</v>
          </cell>
        </row>
        <row r="286">
          <cell r="A286">
            <v>8</v>
          </cell>
          <cell r="C286" t="str">
            <v>FGGD11-14 Тюльпан викинг</v>
          </cell>
          <cell r="D286">
            <v>50</v>
          </cell>
          <cell r="F286">
            <v>0.31</v>
          </cell>
        </row>
        <row r="287">
          <cell r="A287">
            <v>8</v>
          </cell>
          <cell r="C287" t="str">
            <v>FGGD11-14 Ванда синяя</v>
          </cell>
          <cell r="D287">
            <v>16</v>
          </cell>
          <cell r="F287">
            <v>0.71</v>
          </cell>
        </row>
        <row r="288">
          <cell r="A288">
            <v>8</v>
          </cell>
          <cell r="C288" t="str">
            <v>FGGD01 Вероника микс</v>
          </cell>
          <cell r="D288">
            <v>150</v>
          </cell>
          <cell r="F288">
            <v>0.38</v>
          </cell>
        </row>
        <row r="289">
          <cell r="A289">
            <v>8</v>
          </cell>
          <cell r="C289" t="str">
            <v>FGGD08 Калла желтая</v>
          </cell>
          <cell r="D289">
            <v>40</v>
          </cell>
          <cell r="F289">
            <v>0.79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0</v>
          </cell>
          <cell r="F290" t="e">
            <v>#DIV/0!</v>
          </cell>
        </row>
        <row r="291">
          <cell r="D291">
            <v>0</v>
          </cell>
          <cell r="F291" t="e">
            <v>#DIV/0!</v>
          </cell>
        </row>
        <row r="292">
          <cell r="D292">
            <v>0</v>
          </cell>
          <cell r="F292" t="e">
            <v>#DIV/0!</v>
          </cell>
        </row>
        <row r="293">
          <cell r="D293">
            <v>0</v>
          </cell>
          <cell r="F293" t="e">
            <v>#DIV/0!</v>
          </cell>
        </row>
        <row r="294">
          <cell r="D294">
            <v>0</v>
          </cell>
          <cell r="F294" t="e">
            <v>#DIV/0!</v>
          </cell>
        </row>
        <row r="295">
          <cell r="D295">
            <v>0</v>
          </cell>
          <cell r="F295" t="e">
            <v>#DIV/0!</v>
          </cell>
        </row>
        <row r="296">
          <cell r="D296">
            <v>0</v>
          </cell>
          <cell r="F296" t="e">
            <v>#DIV/0!</v>
          </cell>
        </row>
        <row r="297">
          <cell r="D297">
            <v>0</v>
          </cell>
          <cell r="F297" t="e">
            <v>#DIV/0!</v>
          </cell>
        </row>
        <row r="298">
          <cell r="D298">
            <v>0</v>
          </cell>
          <cell r="F298" t="e">
            <v>#DIV/0!</v>
          </cell>
        </row>
        <row r="299">
          <cell r="D299">
            <v>0</v>
          </cell>
          <cell r="F299" t="e">
            <v>#DIV/0!</v>
          </cell>
        </row>
        <row r="300">
          <cell r="D300">
            <v>0</v>
          </cell>
          <cell r="F300" t="e">
            <v>#DIV/0!</v>
          </cell>
        </row>
        <row r="301">
          <cell r="D301">
            <v>0</v>
          </cell>
          <cell r="F301" t="e">
            <v>#DIV/0!</v>
          </cell>
        </row>
        <row r="302">
          <cell r="D302">
            <v>0</v>
          </cell>
          <cell r="F302" t="e">
            <v>#DIV/0!</v>
          </cell>
        </row>
        <row r="303">
          <cell r="D303">
            <v>0</v>
          </cell>
          <cell r="F303" t="e">
            <v>#DIV/0!</v>
          </cell>
        </row>
        <row r="304">
          <cell r="D304">
            <v>0</v>
          </cell>
          <cell r="F304" t="e">
            <v>#DIV/0!</v>
          </cell>
        </row>
        <row r="305">
          <cell r="D305">
            <v>0</v>
          </cell>
          <cell r="F305" t="e">
            <v>#DIV/0!</v>
          </cell>
        </row>
        <row r="306">
          <cell r="D306">
            <v>0</v>
          </cell>
          <cell r="F306" t="e">
            <v>#DIV/0!</v>
          </cell>
        </row>
        <row r="307">
          <cell r="D307">
            <v>0</v>
          </cell>
          <cell r="F307" t="e">
            <v>#DIV/0!</v>
          </cell>
        </row>
        <row r="308">
          <cell r="D308">
            <v>0</v>
          </cell>
          <cell r="F308" t="e">
            <v>#DIV/0!</v>
          </cell>
        </row>
        <row r="309">
          <cell r="D309">
            <v>0</v>
          </cell>
          <cell r="F309" t="e">
            <v>#DIV/0!</v>
          </cell>
        </row>
        <row r="310">
          <cell r="D310">
            <v>0</v>
          </cell>
          <cell r="F310" t="e">
            <v>#DIV/0!</v>
          </cell>
        </row>
        <row r="311">
          <cell r="D311">
            <v>0</v>
          </cell>
          <cell r="F311" t="e">
            <v>#DIV/0!</v>
          </cell>
        </row>
        <row r="312">
          <cell r="D312">
            <v>0</v>
          </cell>
          <cell r="F312" t="e">
            <v>#DIV/0!</v>
          </cell>
        </row>
        <row r="313">
          <cell r="D313">
            <v>0</v>
          </cell>
          <cell r="F313" t="e">
            <v>#DIV/0!</v>
          </cell>
        </row>
        <row r="314">
          <cell r="D314">
            <v>0</v>
          </cell>
          <cell r="F314" t="e">
            <v>#DIV/0!</v>
          </cell>
        </row>
        <row r="315">
          <cell r="D315">
            <v>0</v>
          </cell>
          <cell r="F315" t="e">
            <v>#DIV/0!</v>
          </cell>
        </row>
        <row r="316">
          <cell r="D316">
            <v>0</v>
          </cell>
          <cell r="F316" t="e">
            <v>#DIV/0!</v>
          </cell>
        </row>
        <row r="317">
          <cell r="D317">
            <v>0</v>
          </cell>
          <cell r="F317" t="e">
            <v>#DIV/0!</v>
          </cell>
        </row>
        <row r="318">
          <cell r="D318">
            <v>0</v>
          </cell>
          <cell r="F318" t="e">
            <v>#DIV/0!</v>
          </cell>
        </row>
        <row r="319">
          <cell r="D319">
            <v>0</v>
          </cell>
          <cell r="F319" t="e">
            <v>#DIV/0!</v>
          </cell>
        </row>
        <row r="320">
          <cell r="D320">
            <v>0</v>
          </cell>
          <cell r="F320" t="e">
            <v>#DIV/0!</v>
          </cell>
        </row>
        <row r="321">
          <cell r="D321">
            <v>0</v>
          </cell>
          <cell r="F321" t="e">
            <v>#DIV/0!</v>
          </cell>
        </row>
        <row r="322">
          <cell r="D322">
            <v>0</v>
          </cell>
          <cell r="F322" t="e">
            <v>#DIV/0!</v>
          </cell>
        </row>
        <row r="323">
          <cell r="D323">
            <v>0</v>
          </cell>
          <cell r="F323" t="e">
            <v>#DIV/0!</v>
          </cell>
        </row>
        <row r="324">
          <cell r="D324">
            <v>0</v>
          </cell>
          <cell r="F324" t="e">
            <v>#DIV/0!</v>
          </cell>
        </row>
        <row r="325">
          <cell r="D325">
            <v>0</v>
          </cell>
          <cell r="F325" t="e">
            <v>#DIV/0!</v>
          </cell>
        </row>
        <row r="326">
          <cell r="D326">
            <v>0</v>
          </cell>
          <cell r="F326" t="e">
            <v>#DIV/0!</v>
          </cell>
        </row>
        <row r="327">
          <cell r="D327">
            <v>0</v>
          </cell>
          <cell r="F327" t="e">
            <v>#DIV/0!</v>
          </cell>
        </row>
        <row r="328">
          <cell r="D328">
            <v>0</v>
          </cell>
          <cell r="F328" t="e">
            <v>#DIV/0!</v>
          </cell>
        </row>
        <row r="329">
          <cell r="D329">
            <v>0</v>
          </cell>
          <cell r="F329" t="e">
            <v>#DIV/0!</v>
          </cell>
        </row>
        <row r="330">
          <cell r="D330">
            <v>0</v>
          </cell>
          <cell r="F330" t="e">
            <v>#DIV/0!</v>
          </cell>
        </row>
        <row r="331">
          <cell r="D331">
            <v>0</v>
          </cell>
          <cell r="F331" t="e">
            <v>#DIV/0!</v>
          </cell>
        </row>
        <row r="332">
          <cell r="D332">
            <v>0</v>
          </cell>
          <cell r="F332" t="e">
            <v>#DIV/0!</v>
          </cell>
        </row>
        <row r="333">
          <cell r="D333">
            <v>0</v>
          </cell>
          <cell r="F333" t="e">
            <v>#DIV/0!</v>
          </cell>
        </row>
        <row r="334">
          <cell r="D334">
            <v>0</v>
          </cell>
          <cell r="F334" t="e">
            <v>#DIV/0!</v>
          </cell>
        </row>
        <row r="335">
          <cell r="D335">
            <v>0</v>
          </cell>
          <cell r="F335" t="e">
            <v>#DIV/0!</v>
          </cell>
        </row>
        <row r="336">
          <cell r="D336">
            <v>0</v>
          </cell>
          <cell r="F336" t="e">
            <v>#DIV/0!</v>
          </cell>
        </row>
        <row r="337">
          <cell r="D337">
            <v>0</v>
          </cell>
          <cell r="F337" t="e">
            <v>#DIV/0!</v>
          </cell>
        </row>
        <row r="338">
          <cell r="D338">
            <v>0</v>
          </cell>
          <cell r="F338" t="e">
            <v>#DIV/0!</v>
          </cell>
        </row>
        <row r="339">
          <cell r="D339">
            <v>0</v>
          </cell>
          <cell r="F339" t="e">
            <v>#DIV/0!</v>
          </cell>
        </row>
        <row r="340">
          <cell r="D340">
            <v>0</v>
          </cell>
          <cell r="F340" t="e">
            <v>#DIV/0!</v>
          </cell>
        </row>
        <row r="341">
          <cell r="D341">
            <v>0</v>
          </cell>
          <cell r="F341" t="e">
            <v>#DIV/0!</v>
          </cell>
        </row>
        <row r="342">
          <cell r="D342">
            <v>0</v>
          </cell>
          <cell r="F342" t="e">
            <v>#DIV/0!</v>
          </cell>
        </row>
        <row r="343">
          <cell r="D343">
            <v>0</v>
          </cell>
          <cell r="F343" t="e">
            <v>#DIV/0!</v>
          </cell>
        </row>
        <row r="344">
          <cell r="D344">
            <v>0</v>
          </cell>
          <cell r="F344" t="e">
            <v>#DIV/0!</v>
          </cell>
        </row>
        <row r="345">
          <cell r="D345">
            <v>0</v>
          </cell>
          <cell r="F345" t="e">
            <v>#DIV/0!</v>
          </cell>
        </row>
        <row r="346">
          <cell r="D346">
            <v>0</v>
          </cell>
          <cell r="F346" t="e">
            <v>#DIV/0!</v>
          </cell>
        </row>
        <row r="347">
          <cell r="D347">
            <v>0</v>
          </cell>
          <cell r="F347" t="e">
            <v>#DIV/0!</v>
          </cell>
        </row>
        <row r="348">
          <cell r="D348">
            <v>0</v>
          </cell>
          <cell r="F348" t="e">
            <v>#DIV/0!</v>
          </cell>
        </row>
        <row r="349">
          <cell r="D349">
            <v>0</v>
          </cell>
          <cell r="F349" t="e">
            <v>#DIV/0!</v>
          </cell>
        </row>
        <row r="350">
          <cell r="D350">
            <v>0</v>
          </cell>
          <cell r="F350" t="e">
            <v>#DIV/0!</v>
          </cell>
        </row>
        <row r="351">
          <cell r="D351">
            <v>0</v>
          </cell>
          <cell r="F351" t="e">
            <v>#DIV/0!</v>
          </cell>
        </row>
        <row r="352">
          <cell r="D352">
            <v>0</v>
          </cell>
          <cell r="F352" t="e">
            <v>#DIV/0!</v>
          </cell>
        </row>
        <row r="353">
          <cell r="D353">
            <v>0</v>
          </cell>
          <cell r="F353" t="e">
            <v>#DIV/0!</v>
          </cell>
        </row>
        <row r="354">
          <cell r="D354">
            <v>0</v>
          </cell>
          <cell r="F354" t="e">
            <v>#DIV/0!</v>
          </cell>
        </row>
        <row r="355">
          <cell r="D355">
            <v>0</v>
          </cell>
          <cell r="F355" t="e">
            <v>#DIV/0!</v>
          </cell>
        </row>
        <row r="356">
          <cell r="D356">
            <v>0</v>
          </cell>
          <cell r="F356" t="e">
            <v>#DIV/0!</v>
          </cell>
        </row>
        <row r="357">
          <cell r="D357">
            <v>0</v>
          </cell>
          <cell r="F357" t="e">
            <v>#DIV/0!</v>
          </cell>
        </row>
        <row r="358">
          <cell r="D358">
            <v>0</v>
          </cell>
          <cell r="F358" t="e">
            <v>#DIV/0!</v>
          </cell>
        </row>
        <row r="359">
          <cell r="D359">
            <v>0</v>
          </cell>
          <cell r="F359" t="e">
            <v>#DIV/0!</v>
          </cell>
        </row>
        <row r="360">
          <cell r="D360">
            <v>0</v>
          </cell>
          <cell r="F360" t="e">
            <v>#DIV/0!</v>
          </cell>
        </row>
        <row r="361">
          <cell r="D361">
            <v>0</v>
          </cell>
          <cell r="F361" t="e">
            <v>#DIV/0!</v>
          </cell>
        </row>
        <row r="362">
          <cell r="D362">
            <v>0</v>
          </cell>
          <cell r="F362" t="e">
            <v>#DIV/0!</v>
          </cell>
        </row>
        <row r="363">
          <cell r="D363">
            <v>0</v>
          </cell>
          <cell r="F363" t="e">
            <v>#DIV/0!</v>
          </cell>
        </row>
        <row r="364">
          <cell r="D364">
            <v>0</v>
          </cell>
          <cell r="F364" t="e">
            <v>#DIV/0!</v>
          </cell>
        </row>
        <row r="365">
          <cell r="D365">
            <v>0</v>
          </cell>
          <cell r="F365" t="e">
            <v>#DIV/0!</v>
          </cell>
        </row>
        <row r="366">
          <cell r="D366">
            <v>0</v>
          </cell>
          <cell r="F366" t="e">
            <v>#DIV/0!</v>
          </cell>
        </row>
        <row r="367">
          <cell r="D367">
            <v>0</v>
          </cell>
          <cell r="F367" t="e">
            <v>#DIV/0!</v>
          </cell>
        </row>
        <row r="368">
          <cell r="D368">
            <v>0</v>
          </cell>
          <cell r="F368" t="e">
            <v>#DIV/0!</v>
          </cell>
        </row>
        <row r="369">
          <cell r="D369">
            <v>0</v>
          </cell>
          <cell r="F369" t="e">
            <v>#DIV/0!</v>
          </cell>
        </row>
        <row r="370">
          <cell r="D370">
            <v>0</v>
          </cell>
          <cell r="F370" t="e">
            <v>#DIV/0!</v>
          </cell>
        </row>
        <row r="371">
          <cell r="D371">
            <v>0</v>
          </cell>
          <cell r="F371" t="e">
            <v>#DIV/0!</v>
          </cell>
        </row>
        <row r="372">
          <cell r="D372">
            <v>0</v>
          </cell>
          <cell r="F372" t="e">
            <v>#DIV/0!</v>
          </cell>
        </row>
        <row r="373">
          <cell r="D373">
            <v>0</v>
          </cell>
          <cell r="F373" t="e">
            <v>#DIV/0!</v>
          </cell>
        </row>
        <row r="374">
          <cell r="D374">
            <v>0</v>
          </cell>
          <cell r="F374" t="e">
            <v>#DIV/0!</v>
          </cell>
        </row>
        <row r="375">
          <cell r="D375">
            <v>0</v>
          </cell>
          <cell r="F375" t="e">
            <v>#DIV/0!</v>
          </cell>
        </row>
        <row r="376">
          <cell r="D376">
            <v>0</v>
          </cell>
          <cell r="F376" t="e">
            <v>#DIV/0!</v>
          </cell>
        </row>
        <row r="377">
          <cell r="D377">
            <v>0</v>
          </cell>
          <cell r="F377" t="e">
            <v>#DIV/0!</v>
          </cell>
        </row>
        <row r="378">
          <cell r="D378">
            <v>0</v>
          </cell>
          <cell r="F378" t="e">
            <v>#DIV/0!</v>
          </cell>
        </row>
        <row r="379">
          <cell r="D379">
            <v>0</v>
          </cell>
          <cell r="F379" t="e">
            <v>#DIV/0!</v>
          </cell>
        </row>
        <row r="380">
          <cell r="D380">
            <v>0</v>
          </cell>
          <cell r="F380" t="e">
            <v>#DIV/0!</v>
          </cell>
        </row>
        <row r="381">
          <cell r="D381">
            <v>0</v>
          </cell>
          <cell r="F381" t="e">
            <v>#DIV/0!</v>
          </cell>
        </row>
        <row r="382">
          <cell r="D382">
            <v>0</v>
          </cell>
          <cell r="F382" t="e">
            <v>#DIV/0!</v>
          </cell>
        </row>
        <row r="383">
          <cell r="D383">
            <v>0</v>
          </cell>
          <cell r="F383" t="e">
            <v>#DIV/0!</v>
          </cell>
        </row>
        <row r="384">
          <cell r="D384">
            <v>0</v>
          </cell>
          <cell r="F384" t="e">
            <v>#DIV/0!</v>
          </cell>
        </row>
        <row r="385">
          <cell r="D385">
            <v>0</v>
          </cell>
          <cell r="F385" t="e">
            <v>#DIV/0!</v>
          </cell>
        </row>
        <row r="386">
          <cell r="D386">
            <v>0</v>
          </cell>
          <cell r="F386" t="e">
            <v>#DIV/0!</v>
          </cell>
        </row>
        <row r="387">
          <cell r="D387">
            <v>0</v>
          </cell>
          <cell r="F387" t="e">
            <v>#DIV/0!</v>
          </cell>
        </row>
        <row r="388">
          <cell r="D388">
            <v>0</v>
          </cell>
          <cell r="F388" t="e">
            <v>#DIV/0!</v>
          </cell>
        </row>
        <row r="389">
          <cell r="D389">
            <v>0</v>
          </cell>
          <cell r="F389" t="e">
            <v>#DIV/0!</v>
          </cell>
        </row>
        <row r="390">
          <cell r="D390">
            <v>0</v>
          </cell>
          <cell r="F390" t="e">
            <v>#DIV/0!</v>
          </cell>
        </row>
        <row r="391">
          <cell r="D391">
            <v>0</v>
          </cell>
          <cell r="F391" t="e">
            <v>#DIV/0!</v>
          </cell>
        </row>
        <row r="392">
          <cell r="D392">
            <v>0</v>
          </cell>
          <cell r="F392" t="e">
            <v>#DIV/0!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owerforce.nl/pictures/X11012271_H_2.jpg" TargetMode="External"/><Relationship Id="rId21" Type="http://schemas.openxmlformats.org/officeDocument/2006/relationships/hyperlink" Target="https://flowerforce.nl/pictures/X10932724_H_1.jpg" TargetMode="External"/><Relationship Id="rId63" Type="http://schemas.openxmlformats.org/officeDocument/2006/relationships/hyperlink" Target="https://flowerforce.nl/pictures/X10947014_V_2.jpg" TargetMode="External"/><Relationship Id="rId159" Type="http://schemas.openxmlformats.org/officeDocument/2006/relationships/hyperlink" Target="https://flowerforce.nl/pictures/X11012586_H_1.jpg" TargetMode="External"/><Relationship Id="rId170" Type="http://schemas.openxmlformats.org/officeDocument/2006/relationships/hyperlink" Target="https://flowerforce.nl/pictures/X11006674_H_1.jpg" TargetMode="External"/><Relationship Id="rId226" Type="http://schemas.openxmlformats.org/officeDocument/2006/relationships/hyperlink" Target="https://hovenendemooij.nl/Pictures/X1446089_H_1.jpg" TargetMode="External"/><Relationship Id="rId268" Type="http://schemas.openxmlformats.org/officeDocument/2006/relationships/hyperlink" Target="https://flowersplants.shop/Pictures/X972706_H_1.jpg" TargetMode="External"/><Relationship Id="rId32" Type="http://schemas.openxmlformats.org/officeDocument/2006/relationships/hyperlink" Target="https://flowerforce.nl/pictures/X10999730_H_1.jpg" TargetMode="External"/><Relationship Id="rId74" Type="http://schemas.openxmlformats.org/officeDocument/2006/relationships/hyperlink" Target="https://flowerforce.nl/pictures/X11006653_H_1.jpg" TargetMode="External"/><Relationship Id="rId128" Type="http://schemas.openxmlformats.org/officeDocument/2006/relationships/hyperlink" Target="https://flowerforce.nl/pictures/X11004284_H_2.jpg" TargetMode="External"/><Relationship Id="rId5" Type="http://schemas.openxmlformats.org/officeDocument/2006/relationships/hyperlink" Target="https://flowerforce.nl/pictures/X10992192_H_1.jpg" TargetMode="External"/><Relationship Id="rId95" Type="http://schemas.openxmlformats.org/officeDocument/2006/relationships/hyperlink" Target="https://flowerforce.nl/pictures/X10866189_H_2.jpg" TargetMode="External"/><Relationship Id="rId160" Type="http://schemas.openxmlformats.org/officeDocument/2006/relationships/hyperlink" Target="https://flowerforce.nl/pictures/X11012602_H_1.jpg" TargetMode="External"/><Relationship Id="rId181" Type="http://schemas.openxmlformats.org/officeDocument/2006/relationships/hyperlink" Target="https://flowerforce.nl/pictures/K0_109143_H_2.jpg" TargetMode="External"/><Relationship Id="rId216" Type="http://schemas.openxmlformats.org/officeDocument/2006/relationships/hyperlink" Target="https://shop.flitsbv.com/Pictures/14574350_16097807_H_2.jpg" TargetMode="External"/><Relationship Id="rId237" Type="http://schemas.openxmlformats.org/officeDocument/2006/relationships/hyperlink" Target="https://flowersplants.shop/Pictures/594638755_603380306_H_2.jpg" TargetMode="External"/><Relationship Id="rId258" Type="http://schemas.openxmlformats.org/officeDocument/2006/relationships/hyperlink" Target="https://hovenendemooij.nl/Pictures/K74044_120077_35_H_1.jpg" TargetMode="External"/><Relationship Id="rId22" Type="http://schemas.openxmlformats.org/officeDocument/2006/relationships/hyperlink" Target="https://flowerforce.nl/pictures/X11006609_H_1.jpg" TargetMode="External"/><Relationship Id="rId43" Type="http://schemas.openxmlformats.org/officeDocument/2006/relationships/hyperlink" Target="https://flowerforce.nl/pictures/X10887081_H_1.jpg" TargetMode="External"/><Relationship Id="rId64" Type="http://schemas.openxmlformats.org/officeDocument/2006/relationships/hyperlink" Target="https://flowerforce.nl/pictures/X11006689_H_1.jpg" TargetMode="External"/><Relationship Id="rId118" Type="http://schemas.openxmlformats.org/officeDocument/2006/relationships/hyperlink" Target="https://flowerforce.nl/pictures/X11011810_H_2.jpg" TargetMode="External"/><Relationship Id="rId139" Type="http://schemas.openxmlformats.org/officeDocument/2006/relationships/hyperlink" Target="https://flowerforce.nl/pictures/X10908081_H_1.jpg" TargetMode="External"/><Relationship Id="rId85" Type="http://schemas.openxmlformats.org/officeDocument/2006/relationships/hyperlink" Target="https://flowerforce.nl/pictures/X11012043_H_1.jpg" TargetMode="External"/><Relationship Id="rId150" Type="http://schemas.openxmlformats.org/officeDocument/2006/relationships/hyperlink" Target="https://flowerforce.nl/pictures/X10938248_H_1.jpg" TargetMode="External"/><Relationship Id="rId171" Type="http://schemas.openxmlformats.org/officeDocument/2006/relationships/hyperlink" Target="https://flowerforce.nl/pictures/X11006672_H_1.jpg" TargetMode="External"/><Relationship Id="rId192" Type="http://schemas.openxmlformats.org/officeDocument/2006/relationships/hyperlink" Target="https://image.floriday.io/b6e73afc-6fec-4909-9e7a-e6d7d6e07d0f.jpg?bid=EXKOW2QKDIJ4MYSXN89SPO93J" TargetMode="External"/><Relationship Id="rId206" Type="http://schemas.openxmlformats.org/officeDocument/2006/relationships/hyperlink" Target="https://hovenendemooij.nl/Pictures/K4088_123498_70_H_1.jpg" TargetMode="External"/><Relationship Id="rId227" Type="http://schemas.openxmlformats.org/officeDocument/2006/relationships/hyperlink" Target="https://hovenendemooij.nl/Pictures/K94581_115858_70_H_1.jpg" TargetMode="External"/><Relationship Id="rId248" Type="http://schemas.openxmlformats.org/officeDocument/2006/relationships/hyperlink" Target="https://fps-euhz-img-prod-03.freshportal.net/iri/8f3bc8d0fde8bf7a34124dd50d2e4684/orig/imagemerm3ug0qqnl19mkLQJ.jpg" TargetMode="External"/><Relationship Id="rId269" Type="http://schemas.openxmlformats.org/officeDocument/2006/relationships/hyperlink" Target="https://flowersplants.shop/Pictures/A114848_H_1.jpg" TargetMode="External"/><Relationship Id="rId12" Type="http://schemas.openxmlformats.org/officeDocument/2006/relationships/hyperlink" Target="https://flowerforce.nl/pictures/X11012704_H_1.jpg" TargetMode="External"/><Relationship Id="rId33" Type="http://schemas.openxmlformats.org/officeDocument/2006/relationships/hyperlink" Target="https://flowerforce.nl/pictures/X11008375_H_2.jpg" TargetMode="External"/><Relationship Id="rId108" Type="http://schemas.openxmlformats.org/officeDocument/2006/relationships/hyperlink" Target="https://flowerforce.nl/pictures/X10514231_H_2.jpg" TargetMode="External"/><Relationship Id="rId129" Type="http://schemas.openxmlformats.org/officeDocument/2006/relationships/hyperlink" Target="https://flowerforce.nl/pictures/X11006710_H_1.jpg" TargetMode="External"/><Relationship Id="rId54" Type="http://schemas.openxmlformats.org/officeDocument/2006/relationships/hyperlink" Target="https://flowerforce.nl/pictures/X11010402_H_2.jpg" TargetMode="External"/><Relationship Id="rId75" Type="http://schemas.openxmlformats.org/officeDocument/2006/relationships/hyperlink" Target="https://flowerforce.nl/pictures/X11012691_H_1.jpg" TargetMode="External"/><Relationship Id="rId96" Type="http://schemas.openxmlformats.org/officeDocument/2006/relationships/hyperlink" Target="https://flowerforce.nl/pictures/X10996054_H_2.jpg" TargetMode="External"/><Relationship Id="rId140" Type="http://schemas.openxmlformats.org/officeDocument/2006/relationships/hyperlink" Target="https://flowerforce.nl/pictures/X10908060_H_1.jpg" TargetMode="External"/><Relationship Id="rId161" Type="http://schemas.openxmlformats.org/officeDocument/2006/relationships/hyperlink" Target="https://flowerforce.nl/pictures/X11012584_H_1.jpg" TargetMode="External"/><Relationship Id="rId182" Type="http://schemas.openxmlformats.org/officeDocument/2006/relationships/hyperlink" Target="https://flowerforce.nl/pictures/A1383_H_1.jpg" TargetMode="External"/><Relationship Id="rId217" Type="http://schemas.openxmlformats.org/officeDocument/2006/relationships/hyperlink" Target="https://hovenendemooij.nl/Pictures/K59_19880_60_H_1.jpg" TargetMode="External"/><Relationship Id="rId6" Type="http://schemas.openxmlformats.org/officeDocument/2006/relationships/hyperlink" Target="https://flowerforce.nl/pictures/X11012703_H_1.jpg" TargetMode="External"/><Relationship Id="rId238" Type="http://schemas.openxmlformats.org/officeDocument/2006/relationships/hyperlink" Target="https://flowersplants.shop/Pictures/X979688_H_1.jpg" TargetMode="External"/><Relationship Id="rId259" Type="http://schemas.openxmlformats.org/officeDocument/2006/relationships/hyperlink" Target="https://hovenendemooij.nl/Pictures/K503464_1924_37_H_1.jpg" TargetMode="External"/><Relationship Id="rId23" Type="http://schemas.openxmlformats.org/officeDocument/2006/relationships/hyperlink" Target="https://flowerforce.nl/pictures/X10307814_H_2.jpg" TargetMode="External"/><Relationship Id="rId119" Type="http://schemas.openxmlformats.org/officeDocument/2006/relationships/hyperlink" Target="https://flowerforce.nl/pictures/X11012277_H_2.jpg" TargetMode="External"/><Relationship Id="rId270" Type="http://schemas.openxmlformats.org/officeDocument/2006/relationships/hyperlink" Target="https://flowersplants.shop/Pictures/X972712_H_1.jpg" TargetMode="External"/><Relationship Id="rId44" Type="http://schemas.openxmlformats.org/officeDocument/2006/relationships/hyperlink" Target="https://flowerforce.nl/pictures/X10894352_H_1.jpg" TargetMode="External"/><Relationship Id="rId65" Type="http://schemas.openxmlformats.org/officeDocument/2006/relationships/hyperlink" Target="https://flowerforce.nl/pictures/X11006673_H_1.jpg" TargetMode="External"/><Relationship Id="rId86" Type="http://schemas.openxmlformats.org/officeDocument/2006/relationships/hyperlink" Target="https://flowerforce.nl/pictures/X10984933_H_1.jpg" TargetMode="External"/><Relationship Id="rId130" Type="http://schemas.openxmlformats.org/officeDocument/2006/relationships/hyperlink" Target="https://flowerforce.nl/pictures/X11006673_H_1.jpg" TargetMode="External"/><Relationship Id="rId151" Type="http://schemas.openxmlformats.org/officeDocument/2006/relationships/hyperlink" Target="https://flowerforce.nl/pictures/X11006677_H_1.jpg" TargetMode="External"/><Relationship Id="rId172" Type="http://schemas.openxmlformats.org/officeDocument/2006/relationships/hyperlink" Target="https://flowerforce.nl/pictures/X11006679_H_1.jpg" TargetMode="External"/><Relationship Id="rId193" Type="http://schemas.openxmlformats.org/officeDocument/2006/relationships/hyperlink" Target="https://flowersplants.shop/Pictures/X979653_H_2.jpg" TargetMode="External"/><Relationship Id="rId207" Type="http://schemas.openxmlformats.org/officeDocument/2006/relationships/hyperlink" Target="https://image.floriday.io/c70a59ad-3158-448e-9241-6d1ca5621dde" TargetMode="External"/><Relationship Id="rId228" Type="http://schemas.openxmlformats.org/officeDocument/2006/relationships/hyperlink" Target="https://hovenendemooij.nl/Pictures/K26843_23558_60_H_1.jpg" TargetMode="External"/><Relationship Id="rId249" Type="http://schemas.openxmlformats.org/officeDocument/2006/relationships/hyperlink" Target="https://images.connectwebshop.nl/images/KBTProArtikelFoto/David%20Austin%20Eugenie.jpg" TargetMode="External"/><Relationship Id="rId13" Type="http://schemas.openxmlformats.org/officeDocument/2006/relationships/hyperlink" Target="https://flowerforce.nl/pictures/X10415058_H_1.jpg" TargetMode="External"/><Relationship Id="rId109" Type="http://schemas.openxmlformats.org/officeDocument/2006/relationships/hyperlink" Target="https://flowerforce.nl/pictures/X10955939_H_1.jpg" TargetMode="External"/><Relationship Id="rId260" Type="http://schemas.openxmlformats.org/officeDocument/2006/relationships/hyperlink" Target="https://pictures.flowersales.nl/PicturesGFA/X15175168_H_1.jpg" TargetMode="External"/><Relationship Id="rId34" Type="http://schemas.openxmlformats.org/officeDocument/2006/relationships/hyperlink" Target="https://flowerforce.nl/pictures/X9470532_H_2.jpg" TargetMode="External"/><Relationship Id="rId55" Type="http://schemas.openxmlformats.org/officeDocument/2006/relationships/hyperlink" Target="https://flowerforce.nl/pictures/X11010147_H_2.jpg" TargetMode="External"/><Relationship Id="rId76" Type="http://schemas.openxmlformats.org/officeDocument/2006/relationships/hyperlink" Target="https://flowerforce.nl/pictures/X11006638_H_1.jpg" TargetMode="External"/><Relationship Id="rId97" Type="http://schemas.openxmlformats.org/officeDocument/2006/relationships/hyperlink" Target="https://flowerforce.nl/pictures/X11005827_H_2.jpg" TargetMode="External"/><Relationship Id="rId120" Type="http://schemas.openxmlformats.org/officeDocument/2006/relationships/hyperlink" Target="https://flowerforce.nl/pictures/X10974199_H_1.jpg" TargetMode="External"/><Relationship Id="rId141" Type="http://schemas.openxmlformats.org/officeDocument/2006/relationships/hyperlink" Target="https://flowerforce.nl/pictures/X10764535_H_1.jpg" TargetMode="External"/><Relationship Id="rId7" Type="http://schemas.openxmlformats.org/officeDocument/2006/relationships/hyperlink" Target="https://flowerforce.nl/pictures/X10871646_H_2.jpg" TargetMode="External"/><Relationship Id="rId162" Type="http://schemas.openxmlformats.org/officeDocument/2006/relationships/hyperlink" Target="https://flowerforce.nl/pictures/X11006799_H_1.jpg" TargetMode="External"/><Relationship Id="rId183" Type="http://schemas.openxmlformats.org/officeDocument/2006/relationships/hyperlink" Target="https://flowerforce.nl/pictures/A23469_H_1.jpg" TargetMode="External"/><Relationship Id="rId218" Type="http://schemas.openxmlformats.org/officeDocument/2006/relationships/hyperlink" Target="https://hovenendemooij.nl/Pictures/K12959_126750_60_H_1.jpg" TargetMode="External"/><Relationship Id="rId239" Type="http://schemas.openxmlformats.org/officeDocument/2006/relationships/hyperlink" Target="https://images.connectwebshop.nl/images/Product%20Foto%27s%20KBT/AAA%20Paeonia%20My%20Peony/2026/Week%2021/Sarah%2060cm%20Holzacker%20A1.jpg" TargetMode="External"/><Relationship Id="rId250" Type="http://schemas.openxmlformats.org/officeDocument/2006/relationships/hyperlink" Target="https://flowersplants.shop/Pictures/A580_H_1.jpg" TargetMode="External"/><Relationship Id="rId271" Type="http://schemas.openxmlformats.org/officeDocument/2006/relationships/hyperlink" Target="https://flowersplants.shop/Pictures/X918489_H_1.jpg" TargetMode="External"/><Relationship Id="rId24" Type="http://schemas.openxmlformats.org/officeDocument/2006/relationships/hyperlink" Target="https://flowerforce.nl/pictures/X10520612_H_2.jpg" TargetMode="External"/><Relationship Id="rId45" Type="http://schemas.openxmlformats.org/officeDocument/2006/relationships/hyperlink" Target="https://flowerforce.nl/pictures/X10918566_H_1.jpg" TargetMode="External"/><Relationship Id="rId66" Type="http://schemas.openxmlformats.org/officeDocument/2006/relationships/hyperlink" Target="https://flowerforce.nl/pictures/A16833_H_1.jpg" TargetMode="External"/><Relationship Id="rId87" Type="http://schemas.openxmlformats.org/officeDocument/2006/relationships/hyperlink" Target="https://flowerforce.nl/pictures/X11009368_H_2.jpg" TargetMode="External"/><Relationship Id="rId110" Type="http://schemas.openxmlformats.org/officeDocument/2006/relationships/hyperlink" Target="https://flowerforce.nl/pictures/X10992253_H_1.jpg" TargetMode="External"/><Relationship Id="rId131" Type="http://schemas.openxmlformats.org/officeDocument/2006/relationships/hyperlink" Target="https://flowerforce.nl/pictures/X11012724_H_1.jpg" TargetMode="External"/><Relationship Id="rId152" Type="http://schemas.openxmlformats.org/officeDocument/2006/relationships/hyperlink" Target="https://flowerforce.nl/pictures/X11006676_H_1.jpg" TargetMode="External"/><Relationship Id="rId173" Type="http://schemas.openxmlformats.org/officeDocument/2006/relationships/hyperlink" Target="https://flowerforce.nl/pictures/X11012594_H_1.jpg" TargetMode="External"/><Relationship Id="rId194" Type="http://schemas.openxmlformats.org/officeDocument/2006/relationships/hyperlink" Target="https://hovenendemooij.nl/Pictures/K3666_20880_70_H_1.jpg" TargetMode="External"/><Relationship Id="rId208" Type="http://schemas.openxmlformats.org/officeDocument/2006/relationships/hyperlink" Target="https://image.floriday.io/bfba7fa6-0c56-4a53-bd05-685c24f35559.jpg?bid=9UUUQQQPH52P4RIGOC46H0RQ1" TargetMode="External"/><Relationship Id="rId229" Type="http://schemas.openxmlformats.org/officeDocument/2006/relationships/hyperlink" Target="https://hovenendemooij.nl/Pictures/K724_23558_60_H_1.jpg" TargetMode="External"/><Relationship Id="rId240" Type="http://schemas.openxmlformats.org/officeDocument/2006/relationships/hyperlink" Target="https://image.floriday.io/e888c761-af84-4120-b012-3d4ba0ab5954" TargetMode="External"/><Relationship Id="rId261" Type="http://schemas.openxmlformats.org/officeDocument/2006/relationships/hyperlink" Target="https://pictures.flowersales.nl/PicturesGFA/X14896958_H_1.jpg" TargetMode="External"/><Relationship Id="rId14" Type="http://schemas.openxmlformats.org/officeDocument/2006/relationships/hyperlink" Target="https://flowerforce.nl/pictures/X10580491_H_2.jpg" TargetMode="External"/><Relationship Id="rId35" Type="http://schemas.openxmlformats.org/officeDocument/2006/relationships/hyperlink" Target="https://flowerforce.nl/pictures/X10933074_H_2.jpg" TargetMode="External"/><Relationship Id="rId56" Type="http://schemas.openxmlformats.org/officeDocument/2006/relationships/hyperlink" Target="https://flowerforce.nl/pictures/X10981667_H_1.jpg" TargetMode="External"/><Relationship Id="rId77" Type="http://schemas.openxmlformats.org/officeDocument/2006/relationships/hyperlink" Target="https://flowerforce.nl/pictures/X10932725_H_1.jpg" TargetMode="External"/><Relationship Id="rId100" Type="http://schemas.openxmlformats.org/officeDocument/2006/relationships/hyperlink" Target="https://flowerforce.nl/pictures/X10990998_H_1.jpg" TargetMode="External"/><Relationship Id="rId8" Type="http://schemas.openxmlformats.org/officeDocument/2006/relationships/hyperlink" Target="https://flowerforce.nl/pictures/X10871645_H_2.jpg" TargetMode="External"/><Relationship Id="rId98" Type="http://schemas.openxmlformats.org/officeDocument/2006/relationships/hyperlink" Target="https://flowerforce.nl/pictures/X11000041_H_2.jpg" TargetMode="External"/><Relationship Id="rId121" Type="http://schemas.openxmlformats.org/officeDocument/2006/relationships/hyperlink" Target="https://flowerforce.nl/pictures/X10974161_H_1.jpg" TargetMode="External"/><Relationship Id="rId142" Type="http://schemas.openxmlformats.org/officeDocument/2006/relationships/hyperlink" Target="https://flowerforce.nl/pictures/X11012192_H_1.jpg" TargetMode="External"/><Relationship Id="rId163" Type="http://schemas.openxmlformats.org/officeDocument/2006/relationships/hyperlink" Target="https://flowerforce.nl/pictures/X11006709_H_1.jpg" TargetMode="External"/><Relationship Id="rId184" Type="http://schemas.openxmlformats.org/officeDocument/2006/relationships/hyperlink" Target="https://flowerforce.nl/pictures/K0_111650_100_H_2.jpg" TargetMode="External"/><Relationship Id="rId219" Type="http://schemas.openxmlformats.org/officeDocument/2006/relationships/hyperlink" Target="https://flowersplants.shop/Pictures/X973432_H_1.jpg" TargetMode="External"/><Relationship Id="rId230" Type="http://schemas.openxmlformats.org/officeDocument/2006/relationships/hyperlink" Target="https://flowersplants.shop/Pictures/594607296_603347215_H_2.jpg" TargetMode="External"/><Relationship Id="rId251" Type="http://schemas.openxmlformats.org/officeDocument/2006/relationships/hyperlink" Target="https://hovenendemooij.nl/Pictures/K98411_123876_60_H_1.jpg" TargetMode="External"/><Relationship Id="rId25" Type="http://schemas.openxmlformats.org/officeDocument/2006/relationships/hyperlink" Target="https://flowerforce.nl/pictures/X10800972_H_1.jpg" TargetMode="External"/><Relationship Id="rId46" Type="http://schemas.openxmlformats.org/officeDocument/2006/relationships/hyperlink" Target="https://flowerforce.nl/pictures/X10740660_V_1.jpg" TargetMode="External"/><Relationship Id="rId67" Type="http://schemas.openxmlformats.org/officeDocument/2006/relationships/hyperlink" Target="https://flowerforce.nl/pictures/X11013004_H_1.jpg" TargetMode="External"/><Relationship Id="rId272" Type="http://schemas.openxmlformats.org/officeDocument/2006/relationships/hyperlink" Target="https://flowersplants.shop/Pictures/A117977_H_1.jpg" TargetMode="External"/><Relationship Id="rId88" Type="http://schemas.openxmlformats.org/officeDocument/2006/relationships/hyperlink" Target="https://flowerforce.nl/pictures/X10932920_H_1.jpg" TargetMode="External"/><Relationship Id="rId111" Type="http://schemas.openxmlformats.org/officeDocument/2006/relationships/hyperlink" Target="https://flowerforce.nl/pictures/X10918464_H_1.jpg" TargetMode="External"/><Relationship Id="rId132" Type="http://schemas.openxmlformats.org/officeDocument/2006/relationships/hyperlink" Target="https://flowerforce.nl/pictures/X10932767_H_1.jpg" TargetMode="External"/><Relationship Id="rId153" Type="http://schemas.openxmlformats.org/officeDocument/2006/relationships/hyperlink" Target="https://flowerforce.nl/pictures/X10973807_H_1.jpg" TargetMode="External"/><Relationship Id="rId174" Type="http://schemas.openxmlformats.org/officeDocument/2006/relationships/hyperlink" Target="https://flowerforce.nl/pictures/X11012689_H_1.jpg" TargetMode="External"/><Relationship Id="rId195" Type="http://schemas.openxmlformats.org/officeDocument/2006/relationships/hyperlink" Target="https://flowersplants.shop/Pictures/X971221_H_1.jpg" TargetMode="External"/><Relationship Id="rId209" Type="http://schemas.openxmlformats.org/officeDocument/2006/relationships/hyperlink" Target="https://montana.florinet.nl/storage/images/composite_products/196/196_3.jpg?timestamp=1779260768" TargetMode="External"/><Relationship Id="rId220" Type="http://schemas.openxmlformats.org/officeDocument/2006/relationships/hyperlink" Target="https://hovenendemooij.nl/Pictures/K11912_111760_90_H_1.jpg" TargetMode="External"/><Relationship Id="rId241" Type="http://schemas.openxmlformats.org/officeDocument/2006/relationships/hyperlink" Target="https://hovenendemooij.nl/Pictures/K24322_MYS109652_60_H_1.jpg" TargetMode="External"/><Relationship Id="rId15" Type="http://schemas.openxmlformats.org/officeDocument/2006/relationships/hyperlink" Target="https://flowerforce.nl/pictures/X10415073_H_1.jpg" TargetMode="External"/><Relationship Id="rId36" Type="http://schemas.openxmlformats.org/officeDocument/2006/relationships/hyperlink" Target="https://flowerforce.nl/pictures/X9897003_H_2.jpg" TargetMode="External"/><Relationship Id="rId57" Type="http://schemas.openxmlformats.org/officeDocument/2006/relationships/hyperlink" Target="https://flowerforce.nl/pictures/X10910977_H_1.jpg" TargetMode="External"/><Relationship Id="rId262" Type="http://schemas.openxmlformats.org/officeDocument/2006/relationships/hyperlink" Target="https://image.floriday.io/d3c2ed72-478a-460f-ba22-b20a18ce82ed" TargetMode="External"/><Relationship Id="rId78" Type="http://schemas.openxmlformats.org/officeDocument/2006/relationships/hyperlink" Target="https://flowerforce.nl/pictures/X4641553_H_2.jpg" TargetMode="External"/><Relationship Id="rId99" Type="http://schemas.openxmlformats.org/officeDocument/2006/relationships/hyperlink" Target="https://flowerforce.nl/pictures/X11006250_H_2.jpg" TargetMode="External"/><Relationship Id="rId101" Type="http://schemas.openxmlformats.org/officeDocument/2006/relationships/hyperlink" Target="https://flowerforce.nl/pictures/X9678938_H_2.jpg" TargetMode="External"/><Relationship Id="rId122" Type="http://schemas.openxmlformats.org/officeDocument/2006/relationships/hyperlink" Target="https://flowerforce.nl/pictures/X10926350_H_1.jpg" TargetMode="External"/><Relationship Id="rId143" Type="http://schemas.openxmlformats.org/officeDocument/2006/relationships/hyperlink" Target="https://flowerforce.nl/pictures/X10973878_H_1.jpg" TargetMode="External"/><Relationship Id="rId164" Type="http://schemas.openxmlformats.org/officeDocument/2006/relationships/hyperlink" Target="https://flowerforce.nl/pictures/A113540_H_1.jpg" TargetMode="External"/><Relationship Id="rId185" Type="http://schemas.openxmlformats.org/officeDocument/2006/relationships/hyperlink" Target="https://flowerforce.nl/pictures/X10759268_H_1.jpg" TargetMode="External"/><Relationship Id="rId9" Type="http://schemas.openxmlformats.org/officeDocument/2006/relationships/hyperlink" Target="https://flowerforce.nl/pictures/X11010083_H_2.jpg" TargetMode="External"/><Relationship Id="rId210" Type="http://schemas.openxmlformats.org/officeDocument/2006/relationships/hyperlink" Target="https://image.floriday.io/958be420-ec89-4a26-993b-35b98d389cbd.jpg?bid=1Y3QNSNOCNQD04XVMACYKCN99" TargetMode="External"/><Relationship Id="rId26" Type="http://schemas.openxmlformats.org/officeDocument/2006/relationships/hyperlink" Target="https://flowerforce.nl/pictures/X10418753_H_2.jpg" TargetMode="External"/><Relationship Id="rId231" Type="http://schemas.openxmlformats.org/officeDocument/2006/relationships/hyperlink" Target="https://image.floriday.io/5a913f4a-e084-4a54-8bb5-183f5bf39fd8.jpg?bid=8718288070258FDYF5RMJ0A06" TargetMode="External"/><Relationship Id="rId252" Type="http://schemas.openxmlformats.org/officeDocument/2006/relationships/hyperlink" Target="https://flowersplants.shop/Pictures/X980914_H_2.jpg" TargetMode="External"/><Relationship Id="rId273" Type="http://schemas.openxmlformats.org/officeDocument/2006/relationships/hyperlink" Target="https://flowersplants.shop/Pictures/X728077_H_1.jpg" TargetMode="External"/><Relationship Id="rId47" Type="http://schemas.openxmlformats.org/officeDocument/2006/relationships/hyperlink" Target="https://flowerforce.nl/pictures/X10854817_H_2.jpg" TargetMode="External"/><Relationship Id="rId68" Type="http://schemas.openxmlformats.org/officeDocument/2006/relationships/hyperlink" Target="https://flowerforce.nl/pictures/X11012699_H_1.jpg" TargetMode="External"/><Relationship Id="rId89" Type="http://schemas.openxmlformats.org/officeDocument/2006/relationships/hyperlink" Target="https://flowerforce.nl/pictures/X10956071_V_1.jpg" TargetMode="External"/><Relationship Id="rId112" Type="http://schemas.openxmlformats.org/officeDocument/2006/relationships/hyperlink" Target="https://flowerforce.nl/pictures/X10958712_V_1.jpg" TargetMode="External"/><Relationship Id="rId133" Type="http://schemas.openxmlformats.org/officeDocument/2006/relationships/hyperlink" Target="https://flowerforce.nl/pictures/X10932766_H_1.jpg" TargetMode="External"/><Relationship Id="rId154" Type="http://schemas.openxmlformats.org/officeDocument/2006/relationships/hyperlink" Target="https://flowerforce.nl/pictures/X11012558_V_1.jpg" TargetMode="External"/><Relationship Id="rId175" Type="http://schemas.openxmlformats.org/officeDocument/2006/relationships/hyperlink" Target="https://flowerforce.nl/pictures/X10938635_H_1.jpg" TargetMode="External"/><Relationship Id="rId196" Type="http://schemas.openxmlformats.org/officeDocument/2006/relationships/hyperlink" Target="https://hovenendemooij.nl/Pictures/K1689_117819_72_H_1.jpg" TargetMode="External"/><Relationship Id="rId200" Type="http://schemas.openxmlformats.org/officeDocument/2006/relationships/hyperlink" Target="https://image.floriday.io/f45257bb-ae57-4e14-b799-a700fdcd5ede.jpg?bid=B39ZW5HP0HEFH31QMZSF411PA" TargetMode="External"/><Relationship Id="rId16" Type="http://schemas.openxmlformats.org/officeDocument/2006/relationships/hyperlink" Target="https://flowerforce.nl/pictures/X10613335_H_2.jpg" TargetMode="External"/><Relationship Id="rId221" Type="http://schemas.openxmlformats.org/officeDocument/2006/relationships/hyperlink" Target="https://flowersplants.shop/Pictures/X972736_H_1.jpg" TargetMode="External"/><Relationship Id="rId242" Type="http://schemas.openxmlformats.org/officeDocument/2006/relationships/hyperlink" Target="https://pictures.flowersales.nl/PicturesGFA/A118586_H_1.jpg" TargetMode="External"/><Relationship Id="rId263" Type="http://schemas.openxmlformats.org/officeDocument/2006/relationships/hyperlink" Target="https://flowersplants.shop/Pictures/X914535_H_2.jpg" TargetMode="External"/><Relationship Id="rId37" Type="http://schemas.openxmlformats.org/officeDocument/2006/relationships/hyperlink" Target="https://flowerforce.nl/pictures/X11006624_H_1.jpg" TargetMode="External"/><Relationship Id="rId58" Type="http://schemas.openxmlformats.org/officeDocument/2006/relationships/hyperlink" Target="https://flowerforce.nl/pictures/X10932668_H_1.jpg" TargetMode="External"/><Relationship Id="rId79" Type="http://schemas.openxmlformats.org/officeDocument/2006/relationships/hyperlink" Target="https://flowerforce.nl/pictures/X10938591_H_1.jpg" TargetMode="External"/><Relationship Id="rId102" Type="http://schemas.openxmlformats.org/officeDocument/2006/relationships/hyperlink" Target="https://flowerforce.nl/pictures/X10586775_H_2.jpg" TargetMode="External"/><Relationship Id="rId123" Type="http://schemas.openxmlformats.org/officeDocument/2006/relationships/hyperlink" Target="https://flowerforce.nl/pictures/X10973938_H_1.jpg" TargetMode="External"/><Relationship Id="rId144" Type="http://schemas.openxmlformats.org/officeDocument/2006/relationships/hyperlink" Target="https://flowerforce.nl/pictures/X10932857_H_1.jpg" TargetMode="External"/><Relationship Id="rId90" Type="http://schemas.openxmlformats.org/officeDocument/2006/relationships/hyperlink" Target="https://flowerforce.nl/pictures/X11012470_H_1.jpg" TargetMode="External"/><Relationship Id="rId165" Type="http://schemas.openxmlformats.org/officeDocument/2006/relationships/hyperlink" Target="https://flowerforce.nl/pictures/X11006732_H_1.jpg" TargetMode="External"/><Relationship Id="rId186" Type="http://schemas.openxmlformats.org/officeDocument/2006/relationships/hyperlink" Target="https://flowerforce.nl/pictures/X10868705_H_1.jpg" TargetMode="External"/><Relationship Id="rId211" Type="http://schemas.openxmlformats.org/officeDocument/2006/relationships/hyperlink" Target="https://image.floriday.io/3538e22a-ec9e-4e58-8c94-a488f963963f" TargetMode="External"/><Relationship Id="rId232" Type="http://schemas.openxmlformats.org/officeDocument/2006/relationships/hyperlink" Target="https://flowersplants.shop/Pictures/594406656_603141925_H_2.jpg" TargetMode="External"/><Relationship Id="rId253" Type="http://schemas.openxmlformats.org/officeDocument/2006/relationships/hyperlink" Target="https://webshop.hpvannieuwkerk.nl/Pictures/283839430_290290002_H_1.jpg" TargetMode="External"/><Relationship Id="rId274" Type="http://schemas.openxmlformats.org/officeDocument/2006/relationships/hyperlink" Target="https://flowersplants.shop/Pictures/A117921_H_1.jpg" TargetMode="External"/><Relationship Id="rId27" Type="http://schemas.openxmlformats.org/officeDocument/2006/relationships/hyperlink" Target="https://flowerforce.nl/pictures/X10439964_H_1.jpg" TargetMode="External"/><Relationship Id="rId48" Type="http://schemas.openxmlformats.org/officeDocument/2006/relationships/hyperlink" Target="https://flowerforce.nl/pictures/X10854814_H_2.jpg" TargetMode="External"/><Relationship Id="rId69" Type="http://schemas.openxmlformats.org/officeDocument/2006/relationships/hyperlink" Target="https://flowerforce.nl/pictures/X10908352_H_1.jpg" TargetMode="External"/><Relationship Id="rId113" Type="http://schemas.openxmlformats.org/officeDocument/2006/relationships/hyperlink" Target="https://flowerforce.nl/pictures/X10926238_H_1.jpg" TargetMode="External"/><Relationship Id="rId134" Type="http://schemas.openxmlformats.org/officeDocument/2006/relationships/hyperlink" Target="https://flowerforce.nl/pictures/X10932761_V_1.jpg" TargetMode="External"/><Relationship Id="rId80" Type="http://schemas.openxmlformats.org/officeDocument/2006/relationships/hyperlink" Target="https://flowerforce.nl/pictures/X11012673_H_1.jpg" TargetMode="External"/><Relationship Id="rId155" Type="http://schemas.openxmlformats.org/officeDocument/2006/relationships/hyperlink" Target="https://flowerforce.nl/pictures/X10175630_H_1.jpg" TargetMode="External"/><Relationship Id="rId176" Type="http://schemas.openxmlformats.org/officeDocument/2006/relationships/hyperlink" Target="https://flowerforce.nl/pictures/X11012604_H_1.jpg" TargetMode="External"/><Relationship Id="rId197" Type="http://schemas.openxmlformats.org/officeDocument/2006/relationships/hyperlink" Target="https://flowersplants.shop/Pictures/X980955_H_1.jpg" TargetMode="External"/><Relationship Id="rId201" Type="http://schemas.openxmlformats.org/officeDocument/2006/relationships/hyperlink" Target="https://flowersplants.shop/Pictures/X973033_H_1.jpg" TargetMode="External"/><Relationship Id="rId222" Type="http://schemas.openxmlformats.org/officeDocument/2006/relationships/hyperlink" Target="https://hovenendemooij.nl/Pictures/K3146_125862_80_H_1.jpg" TargetMode="External"/><Relationship Id="rId243" Type="http://schemas.openxmlformats.org/officeDocument/2006/relationships/hyperlink" Target="https://hovenendemooij.nl/Pictures/K97110_N185_50_H_1.jpg" TargetMode="External"/><Relationship Id="rId264" Type="http://schemas.openxmlformats.org/officeDocument/2006/relationships/hyperlink" Target="https://flowersplants.shop/Pictures/X975962_H_2.jpg" TargetMode="External"/><Relationship Id="rId17" Type="http://schemas.openxmlformats.org/officeDocument/2006/relationships/hyperlink" Target="https://flowerforce.nl/pictures/X10415063_H_1.jpg" TargetMode="External"/><Relationship Id="rId38" Type="http://schemas.openxmlformats.org/officeDocument/2006/relationships/hyperlink" Target="https://flowerforce.nl/pictures/X10856135_H_1.jpg" TargetMode="External"/><Relationship Id="rId59" Type="http://schemas.openxmlformats.org/officeDocument/2006/relationships/hyperlink" Target="https://flowerforce.nl/pictures/X11006612_H_1.jpg" TargetMode="External"/><Relationship Id="rId103" Type="http://schemas.openxmlformats.org/officeDocument/2006/relationships/hyperlink" Target="https://flowerforce.nl/pictures/X11004221_H_2.jpg" TargetMode="External"/><Relationship Id="rId124" Type="http://schemas.openxmlformats.org/officeDocument/2006/relationships/hyperlink" Target="https://flowerforce.nl/pictures/X10911058_H_2.jpg" TargetMode="External"/><Relationship Id="rId70" Type="http://schemas.openxmlformats.org/officeDocument/2006/relationships/hyperlink" Target="https://flowerforce.nl/pictures/X11012702_H_1.jpg" TargetMode="External"/><Relationship Id="rId91" Type="http://schemas.openxmlformats.org/officeDocument/2006/relationships/hyperlink" Target="https://flowerforce.nl/pictures/X10854965_H_1.jpg" TargetMode="External"/><Relationship Id="rId145" Type="http://schemas.openxmlformats.org/officeDocument/2006/relationships/hyperlink" Target="https://flowerforce.nl/pictures/X10938247_H_1.jpg" TargetMode="External"/><Relationship Id="rId166" Type="http://schemas.openxmlformats.org/officeDocument/2006/relationships/hyperlink" Target="https://flowerforce.nl/pictures/X11006705_H_1.jpg" TargetMode="External"/><Relationship Id="rId187" Type="http://schemas.openxmlformats.org/officeDocument/2006/relationships/hyperlink" Target="https://vannova.florinet.nl/storage/images/composite_products/386/386_35.jpg?timestamp=1771332665" TargetMode="External"/><Relationship Id="rId1" Type="http://schemas.openxmlformats.org/officeDocument/2006/relationships/hyperlink" Target="https://flowerforce.nl/pictures/X10832350_H_1.jpg" TargetMode="External"/><Relationship Id="rId212" Type="http://schemas.openxmlformats.org/officeDocument/2006/relationships/hyperlink" Target="https://image.floriday.io/52ab117d-c455-4994-95e4-9cf9e6958f98.jpg?bid=7EK35QIIQZNHF1P7CA45KIAVS" TargetMode="External"/><Relationship Id="rId233" Type="http://schemas.openxmlformats.org/officeDocument/2006/relationships/hyperlink" Target="https://image.floriday.io/27070e8f-60fa-4267-9be2-38d2a053655b.jpg?bid=8GW2JCJS852PQTNZU4MGZDPI3" TargetMode="External"/><Relationship Id="rId254" Type="http://schemas.openxmlformats.org/officeDocument/2006/relationships/hyperlink" Target="https://webshop.hpvannieuwkerk.nl/Pictures/283839430_290290002_H_1.jpg" TargetMode="External"/><Relationship Id="rId28" Type="http://schemas.openxmlformats.org/officeDocument/2006/relationships/hyperlink" Target="https://flowerforce.nl/pictures/X10307840_H_2.jpg" TargetMode="External"/><Relationship Id="rId49" Type="http://schemas.openxmlformats.org/officeDocument/2006/relationships/hyperlink" Target="https://flowerforce.nl/pictures/X10918608_H_2.jpg" TargetMode="External"/><Relationship Id="rId114" Type="http://schemas.openxmlformats.org/officeDocument/2006/relationships/hyperlink" Target="https://flowerforce.nl/pictures/X10992425_H_1.jpg" TargetMode="External"/><Relationship Id="rId275" Type="http://schemas.openxmlformats.org/officeDocument/2006/relationships/printerSettings" Target="../printerSettings/printerSettings1.bin"/><Relationship Id="rId60" Type="http://schemas.openxmlformats.org/officeDocument/2006/relationships/hyperlink" Target="https://flowerforce.nl/pictures/X10827719_H_1.jpg" TargetMode="External"/><Relationship Id="rId81" Type="http://schemas.openxmlformats.org/officeDocument/2006/relationships/hyperlink" Target="https://flowerforce.nl/pictures/X11012607_H_1.jpg" TargetMode="External"/><Relationship Id="rId135" Type="http://schemas.openxmlformats.org/officeDocument/2006/relationships/hyperlink" Target="https://flowerforce.nl/pictures/X10938592_V_1.jpg" TargetMode="External"/><Relationship Id="rId156" Type="http://schemas.openxmlformats.org/officeDocument/2006/relationships/hyperlink" Target="https://flowerforce.nl/pictures/X9365195_H_1.jpg" TargetMode="External"/><Relationship Id="rId177" Type="http://schemas.openxmlformats.org/officeDocument/2006/relationships/hyperlink" Target="https://flowerforce.nl/pictures/X11012674_H_1.jpg" TargetMode="External"/><Relationship Id="rId198" Type="http://schemas.openxmlformats.org/officeDocument/2006/relationships/hyperlink" Target="https://zentoo.florinet.nl/storage/images/composite_products/2311/2311_2.jpg?timestamp=1761835866" TargetMode="External"/><Relationship Id="rId202" Type="http://schemas.openxmlformats.org/officeDocument/2006/relationships/hyperlink" Target="https://hovenendemooij.nl/Pictures/K99912_117009_70_H_1.jpg" TargetMode="External"/><Relationship Id="rId223" Type="http://schemas.openxmlformats.org/officeDocument/2006/relationships/hyperlink" Target="https://pictures.flowersales.nl/PicturesGFA/X15279204_H_1.jpg" TargetMode="External"/><Relationship Id="rId244" Type="http://schemas.openxmlformats.org/officeDocument/2006/relationships/hyperlink" Target="https://hovenendemooij.nl/Pictures/K12947_128260_60_H_1.jpg" TargetMode="External"/><Relationship Id="rId18" Type="http://schemas.openxmlformats.org/officeDocument/2006/relationships/hyperlink" Target="https://flowerforce.nl/pictures/X9770607_H_2.jpg" TargetMode="External"/><Relationship Id="rId39" Type="http://schemas.openxmlformats.org/officeDocument/2006/relationships/hyperlink" Target="https://flowerforce.nl/pictures/X11009218_H_2.jpg" TargetMode="External"/><Relationship Id="rId265" Type="http://schemas.openxmlformats.org/officeDocument/2006/relationships/hyperlink" Target="https://flowersplants.shop/Pictures/X914818_H_2.jpg" TargetMode="External"/><Relationship Id="rId50" Type="http://schemas.openxmlformats.org/officeDocument/2006/relationships/hyperlink" Target="https://flowerforce.nl/pictures/X10992256_H_1.jpg" TargetMode="External"/><Relationship Id="rId104" Type="http://schemas.openxmlformats.org/officeDocument/2006/relationships/hyperlink" Target="https://flowerforce.nl/pictures/A1125_H_1.jpg" TargetMode="External"/><Relationship Id="rId125" Type="http://schemas.openxmlformats.org/officeDocument/2006/relationships/hyperlink" Target="https://flowerforce.nl/pictures/X10904703_H_2.jpg" TargetMode="External"/><Relationship Id="rId146" Type="http://schemas.openxmlformats.org/officeDocument/2006/relationships/hyperlink" Target="https://flowerforce.nl/pictures/X10908303_H_1.jpg" TargetMode="External"/><Relationship Id="rId167" Type="http://schemas.openxmlformats.org/officeDocument/2006/relationships/hyperlink" Target="https://flowerforce.nl/pictures/X11012627_H_1.jpg" TargetMode="External"/><Relationship Id="rId188" Type="http://schemas.openxmlformats.org/officeDocument/2006/relationships/hyperlink" Target="https://flowersplants.shop/Pictures/X974656_H_1.jpg" TargetMode="External"/><Relationship Id="rId71" Type="http://schemas.openxmlformats.org/officeDocument/2006/relationships/hyperlink" Target="https://flowerforce.nl/pictures/A26354_H_1.jpg" TargetMode="External"/><Relationship Id="rId92" Type="http://schemas.openxmlformats.org/officeDocument/2006/relationships/hyperlink" Target="https://flowerforce.nl/pictures/X10418726_H_1.jpg" TargetMode="External"/><Relationship Id="rId213" Type="http://schemas.openxmlformats.org/officeDocument/2006/relationships/hyperlink" Target="https://image.floriday.io/c9d2b39e-69ed-423e-bd50-75b4ed287619.jpg?bid=9E8NMRQX11QVKAF7RP5IFP6VT" TargetMode="External"/><Relationship Id="rId234" Type="http://schemas.openxmlformats.org/officeDocument/2006/relationships/hyperlink" Target="https://pictures.flowersales.nl/PicturesGFA/226022500_235329552_H_1.jpg" TargetMode="External"/><Relationship Id="rId2" Type="http://schemas.openxmlformats.org/officeDocument/2006/relationships/hyperlink" Target="https://flowerforce.nl/pictures/X10968732_V_2.jpg" TargetMode="External"/><Relationship Id="rId29" Type="http://schemas.openxmlformats.org/officeDocument/2006/relationships/hyperlink" Target="https://flowerforce.nl/pictures/X9961283_H_2.jpg" TargetMode="External"/><Relationship Id="rId255" Type="http://schemas.openxmlformats.org/officeDocument/2006/relationships/hyperlink" Target="https://flowersplants.shop/Pictures/X980701_H_1.jpg" TargetMode="External"/><Relationship Id="rId40" Type="http://schemas.openxmlformats.org/officeDocument/2006/relationships/hyperlink" Target="https://flowerforce.nl/pictures/X10898110_H_2.jpg" TargetMode="External"/><Relationship Id="rId115" Type="http://schemas.openxmlformats.org/officeDocument/2006/relationships/hyperlink" Target="https://flowerforce.nl/pictures/X10992471_H_1.jpg" TargetMode="External"/><Relationship Id="rId136" Type="http://schemas.openxmlformats.org/officeDocument/2006/relationships/hyperlink" Target="https://flowerforce.nl/pictures/X11012701_H_1.jpg" TargetMode="External"/><Relationship Id="rId157" Type="http://schemas.openxmlformats.org/officeDocument/2006/relationships/hyperlink" Target="https://flowerforce.nl/pictures/X10901245_H_1.jpg" TargetMode="External"/><Relationship Id="rId178" Type="http://schemas.openxmlformats.org/officeDocument/2006/relationships/hyperlink" Target="https://flowerforce.nl/pictures/X11012700_H_1.jpg" TargetMode="External"/><Relationship Id="rId61" Type="http://schemas.openxmlformats.org/officeDocument/2006/relationships/hyperlink" Target="https://flowerforce.nl/pictures/X10885005_H_2.jpg" TargetMode="External"/><Relationship Id="rId82" Type="http://schemas.openxmlformats.org/officeDocument/2006/relationships/hyperlink" Target="https://flowerforce.nl/pictures/X10811540_H_1.jpg" TargetMode="External"/><Relationship Id="rId199" Type="http://schemas.openxmlformats.org/officeDocument/2006/relationships/hyperlink" Target="https://flowersplants.shop/Pictures/594420879_603178284_V_2.jpg" TargetMode="External"/><Relationship Id="rId203" Type="http://schemas.openxmlformats.org/officeDocument/2006/relationships/hyperlink" Target="https://hovenendemooij.nl/Pictures/K97574_15831_60_60_H_1.jpg" TargetMode="External"/><Relationship Id="rId19" Type="http://schemas.openxmlformats.org/officeDocument/2006/relationships/hyperlink" Target="https://flowerforce.nl/pictures/X10849070_H_1.jpg" TargetMode="External"/><Relationship Id="rId224" Type="http://schemas.openxmlformats.org/officeDocument/2006/relationships/hyperlink" Target="https://hovenendemooij.nl/Pictures/K30241_18159_72_H_1.jpg" TargetMode="External"/><Relationship Id="rId245" Type="http://schemas.openxmlformats.org/officeDocument/2006/relationships/hyperlink" Target="https://flowersplants.shop/Pictures/X977603_H_1.jpg" TargetMode="External"/><Relationship Id="rId266" Type="http://schemas.openxmlformats.org/officeDocument/2006/relationships/hyperlink" Target="https://flowersplants.shop/Pictures/X908928_H_1.jpg" TargetMode="External"/><Relationship Id="rId30" Type="http://schemas.openxmlformats.org/officeDocument/2006/relationships/hyperlink" Target="https://flowerforce.nl/pictures/X10856190_H_2.jpg" TargetMode="External"/><Relationship Id="rId105" Type="http://schemas.openxmlformats.org/officeDocument/2006/relationships/hyperlink" Target="https://flowerforce.nl/pictures/X10981872_H_1.jpg" TargetMode="External"/><Relationship Id="rId126" Type="http://schemas.openxmlformats.org/officeDocument/2006/relationships/hyperlink" Target="https://flowerforce.nl/pictures/X10126389_H_2.jpg" TargetMode="External"/><Relationship Id="rId147" Type="http://schemas.openxmlformats.org/officeDocument/2006/relationships/hyperlink" Target="https://flowerforce.nl/pictures/X10972542_H_1.jpg" TargetMode="External"/><Relationship Id="rId168" Type="http://schemas.openxmlformats.org/officeDocument/2006/relationships/hyperlink" Target="https://flowerforce.nl/pictures/X11012613_H_1.jpg" TargetMode="External"/><Relationship Id="rId51" Type="http://schemas.openxmlformats.org/officeDocument/2006/relationships/hyperlink" Target="https://flowerforce.nl/pictures/X10047318_H_2.jpg" TargetMode="External"/><Relationship Id="rId72" Type="http://schemas.openxmlformats.org/officeDocument/2006/relationships/hyperlink" Target="https://flowerforce.nl/pictures/X10838378_H_1.jpg" TargetMode="External"/><Relationship Id="rId93" Type="http://schemas.openxmlformats.org/officeDocument/2006/relationships/hyperlink" Target="https://flowerforce.nl/pictures/X10981688_H_1.jpg" TargetMode="External"/><Relationship Id="rId189" Type="http://schemas.openxmlformats.org/officeDocument/2006/relationships/hyperlink" Target="https://flowersplants.shop/Pictures/X981419_H_1.jpg" TargetMode="External"/><Relationship Id="rId3" Type="http://schemas.openxmlformats.org/officeDocument/2006/relationships/hyperlink" Target="https://flowerforce.nl/pictures/X11006846_H_1.jpg" TargetMode="External"/><Relationship Id="rId214" Type="http://schemas.openxmlformats.org/officeDocument/2006/relationships/hyperlink" Target="https://image.floriday.io/498d0812-4a02-44cd-8139-c9656fa929c3.jpg" TargetMode="External"/><Relationship Id="rId235" Type="http://schemas.openxmlformats.org/officeDocument/2006/relationships/hyperlink" Target="https://flowersplants.shop/Pictures/594408999_603142883_H_2.jpg" TargetMode="External"/><Relationship Id="rId256" Type="http://schemas.openxmlformats.org/officeDocument/2006/relationships/hyperlink" Target="https://image.floriday.io/808f4798-a5f1-4fc8-82d5-0a5b2fac917b.jpg?bid=7LZWW8DHWH47HQRT5G675EU7V" TargetMode="External"/><Relationship Id="rId116" Type="http://schemas.openxmlformats.org/officeDocument/2006/relationships/hyperlink" Target="https://flowerforce.nl/pictures/X10993520_H_1.jpg" TargetMode="External"/><Relationship Id="rId137" Type="http://schemas.openxmlformats.org/officeDocument/2006/relationships/hyperlink" Target="https://flowerforce.nl/pictures/X10868528_H_1.jpg" TargetMode="External"/><Relationship Id="rId158" Type="http://schemas.openxmlformats.org/officeDocument/2006/relationships/hyperlink" Target="https://flowerforce.nl/pictures/X11012546_H_2.jpg" TargetMode="External"/><Relationship Id="rId20" Type="http://schemas.openxmlformats.org/officeDocument/2006/relationships/hyperlink" Target="https://flowerforce.nl/pictures/X10597792_H_2.jpg" TargetMode="External"/><Relationship Id="rId41" Type="http://schemas.openxmlformats.org/officeDocument/2006/relationships/hyperlink" Target="https://flowerforce.nl/pictures/X10504821_H_1.jpg" TargetMode="External"/><Relationship Id="rId62" Type="http://schemas.openxmlformats.org/officeDocument/2006/relationships/hyperlink" Target="https://flowerforce.nl/pictures/X11009336_H_1.jpg" TargetMode="External"/><Relationship Id="rId83" Type="http://schemas.openxmlformats.org/officeDocument/2006/relationships/hyperlink" Target="https://flowerforce.nl/pictures/X10274408_H_2.jpg" TargetMode="External"/><Relationship Id="rId179" Type="http://schemas.openxmlformats.org/officeDocument/2006/relationships/hyperlink" Target="https://flowerforce.nl/pictures/A101264_H_1.jpg" TargetMode="External"/><Relationship Id="rId190" Type="http://schemas.openxmlformats.org/officeDocument/2006/relationships/hyperlink" Target="https://flowersplants.shop/Pictures/X973626_H_1.jpg" TargetMode="External"/><Relationship Id="rId204" Type="http://schemas.openxmlformats.org/officeDocument/2006/relationships/hyperlink" Target="https://hovenendemooij.nl/Pictures/K97475_23501_80_H_1.jpg" TargetMode="External"/><Relationship Id="rId225" Type="http://schemas.openxmlformats.org/officeDocument/2006/relationships/hyperlink" Target="https://image.floriday.io/b7a5adae-68f5-423c-b3dd-04b4213f25ec.jpg?bid=ACAFD50VQJKUABLGDTAGD9M98" TargetMode="External"/><Relationship Id="rId246" Type="http://schemas.openxmlformats.org/officeDocument/2006/relationships/hyperlink" Target="https://hovenendemooij.nl/Pictures/K77544_128465_60_H_1.jpg" TargetMode="External"/><Relationship Id="rId267" Type="http://schemas.openxmlformats.org/officeDocument/2006/relationships/hyperlink" Target="https://flowersplants.shop/Pictures/X972723_H_1.jpg" TargetMode="External"/><Relationship Id="rId106" Type="http://schemas.openxmlformats.org/officeDocument/2006/relationships/hyperlink" Target="https://flowerforce.nl/pictures/X10966835_H_1.jpg" TargetMode="External"/><Relationship Id="rId127" Type="http://schemas.openxmlformats.org/officeDocument/2006/relationships/hyperlink" Target="https://flowerforce.nl/pictures/X10900129_H_1.jpg" TargetMode="External"/><Relationship Id="rId10" Type="http://schemas.openxmlformats.org/officeDocument/2006/relationships/hyperlink" Target="https://flowerforce.nl/pictures/X11012706_H_1.jpg" TargetMode="External"/><Relationship Id="rId31" Type="http://schemas.openxmlformats.org/officeDocument/2006/relationships/hyperlink" Target="https://flowerforce.nl/pictures/X11008376_H_2.jpg" TargetMode="External"/><Relationship Id="rId52" Type="http://schemas.openxmlformats.org/officeDocument/2006/relationships/hyperlink" Target="https://flowerforce.nl/pictures/X11010414_H_2.jpg" TargetMode="External"/><Relationship Id="rId73" Type="http://schemas.openxmlformats.org/officeDocument/2006/relationships/hyperlink" Target="https://flowerforce.nl/pictures/X11006751_H_1.jpg" TargetMode="External"/><Relationship Id="rId94" Type="http://schemas.openxmlformats.org/officeDocument/2006/relationships/hyperlink" Target="https://flowerforce.nl/pictures/X10823460_H_2.jpg" TargetMode="External"/><Relationship Id="rId148" Type="http://schemas.openxmlformats.org/officeDocument/2006/relationships/hyperlink" Target="https://flowerforce.nl/pictures/X11006650_H_1.jpg" TargetMode="External"/><Relationship Id="rId169" Type="http://schemas.openxmlformats.org/officeDocument/2006/relationships/hyperlink" Target="https://flowerforce.nl/pictures/X11006678_H_1.jpg" TargetMode="External"/><Relationship Id="rId4" Type="http://schemas.openxmlformats.org/officeDocument/2006/relationships/hyperlink" Target="https://flowerforce.nl/pictures/X10317746_H_2.jpg" TargetMode="External"/><Relationship Id="rId180" Type="http://schemas.openxmlformats.org/officeDocument/2006/relationships/hyperlink" Target="https://flowerforce.nl/pictures/A106552_H_2.jpg" TargetMode="External"/><Relationship Id="rId215" Type="http://schemas.openxmlformats.org/officeDocument/2006/relationships/hyperlink" Target="https://webshop.mdk.nl/pictures/1301986_4054313_H_1.jpg" TargetMode="External"/><Relationship Id="rId236" Type="http://schemas.openxmlformats.org/officeDocument/2006/relationships/hyperlink" Target="https://image.floriday.io/c119f2a3-f53e-4f36-b572-72c8e2d2de7c.jpg?bid=9PEYBL549N8ZQZRIBJE8CUAV0" TargetMode="External"/><Relationship Id="rId257" Type="http://schemas.openxmlformats.org/officeDocument/2006/relationships/hyperlink" Target="https://hovenendemooij.nl/Pictures/K522280_107016_38_H_1.jpg" TargetMode="External"/><Relationship Id="rId42" Type="http://schemas.openxmlformats.org/officeDocument/2006/relationships/hyperlink" Target="https://flowerforce.nl/pictures/X10932729_H_1.jpg" TargetMode="External"/><Relationship Id="rId84" Type="http://schemas.openxmlformats.org/officeDocument/2006/relationships/hyperlink" Target="https://flowerforce.nl/pictures/X10994477_H_1.jpg" TargetMode="External"/><Relationship Id="rId138" Type="http://schemas.openxmlformats.org/officeDocument/2006/relationships/hyperlink" Target="https://flowerforce.nl/pictures/X10973872_H_1.jpg" TargetMode="External"/><Relationship Id="rId191" Type="http://schemas.openxmlformats.org/officeDocument/2006/relationships/hyperlink" Target="https://image.floriday.io/aab5ab05-77c7-488c-965b-9639888c4031" TargetMode="External"/><Relationship Id="rId205" Type="http://schemas.openxmlformats.org/officeDocument/2006/relationships/hyperlink" Target="https://image.floriday.io/71c218ac-7168-48d1-bf58-5326aa49c1b5.jpg?bid=A6SCMF91JOGJFIE7560CVZ7W5" TargetMode="External"/><Relationship Id="rId247" Type="http://schemas.openxmlformats.org/officeDocument/2006/relationships/hyperlink" Target="https://hovenendemooij.nl/Pictures/K77544_128465_70_H_1.jpg" TargetMode="External"/><Relationship Id="rId107" Type="http://schemas.openxmlformats.org/officeDocument/2006/relationships/hyperlink" Target="https://flowerforce.nl/pictures/X10811207_H_1.jpg" TargetMode="External"/><Relationship Id="rId11" Type="http://schemas.openxmlformats.org/officeDocument/2006/relationships/hyperlink" Target="https://flowerforce.nl/pictures/X10918799_H_1.jpg" TargetMode="External"/><Relationship Id="rId53" Type="http://schemas.openxmlformats.org/officeDocument/2006/relationships/hyperlink" Target="https://flowerforce.nl/pictures/X11010411_H_2.jpg" TargetMode="External"/><Relationship Id="rId149" Type="http://schemas.openxmlformats.org/officeDocument/2006/relationships/hyperlink" Target="https://flowerforce.nl/pictures/X10938243_H_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8"/>
  <sheetViews>
    <sheetView tabSelected="1" workbookViewId="0">
      <selection activeCell="X265" sqref="X265"/>
    </sheetView>
  </sheetViews>
  <sheetFormatPr defaultRowHeight="12.75" x14ac:dyDescent="0.2"/>
  <cols>
    <col min="2" max="2" width="44.85546875" bestFit="1" customWidth="1"/>
    <col min="5" max="6" width="0" hidden="1" customWidth="1"/>
    <col min="8" max="11" width="0" hidden="1" customWidth="1"/>
    <col min="13" max="13" width="9.140625" style="23" customWidth="1"/>
    <col min="14" max="14" width="8.85546875" style="24" customWidth="1"/>
  </cols>
  <sheetData>
    <row r="1" spans="1:20" ht="15.75" x14ac:dyDescent="0.2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3"/>
      <c r="M1" s="1" t="s">
        <v>0</v>
      </c>
      <c r="N1" s="4">
        <v>2.85</v>
      </c>
      <c r="O1" s="5"/>
      <c r="P1" s="1"/>
      <c r="Q1" s="1"/>
      <c r="R1" s="1"/>
    </row>
    <row r="2" spans="1:20" ht="15.75" x14ac:dyDescent="0.25">
      <c r="A2" s="1"/>
      <c r="B2" s="6" t="s">
        <v>1</v>
      </c>
      <c r="C2" s="6" t="s">
        <v>2</v>
      </c>
      <c r="D2" s="6" t="s">
        <v>3</v>
      </c>
      <c r="E2" s="6"/>
      <c r="F2" s="6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8" t="s">
        <v>3</v>
      </c>
      <c r="M2" s="9" t="s">
        <v>10</v>
      </c>
      <c r="N2" s="8" t="s">
        <v>11</v>
      </c>
      <c r="O2" s="10" t="s">
        <v>12</v>
      </c>
      <c r="P2" s="1"/>
      <c r="Q2" s="1"/>
      <c r="R2" s="1"/>
    </row>
    <row r="3" spans="1:20" ht="15.75" x14ac:dyDescent="0.25">
      <c r="A3" s="11">
        <f>[1]Лист4!A174</f>
        <v>8</v>
      </c>
      <c r="B3" s="12" t="str">
        <f>[1]Лист4!C174</f>
        <v>AKM05 Пион Сара Бернард</v>
      </c>
      <c r="C3" s="13">
        <f>[1]Лист4!D174</f>
        <v>50</v>
      </c>
      <c r="D3" s="14">
        <f>[1]Лист4!F174</f>
        <v>0.8</v>
      </c>
      <c r="E3" s="15">
        <f t="shared" ref="E3:E66" si="0">D3*C3</f>
        <v>40</v>
      </c>
      <c r="F3" s="15">
        <f t="shared" ref="F3:F66" si="1">D3*1.18*0.07</f>
        <v>6.608E-2</v>
      </c>
      <c r="G3" s="16">
        <f t="shared" ref="G3:G66" si="2">ROUND((((D3*1.15)*1.18)+F3+0.14)*1.2,2)</f>
        <v>1.55</v>
      </c>
      <c r="H3" s="16">
        <f t="shared" ref="H3:H66" si="3">ROUNDUP(G3*1.04*$N$1,2)</f>
        <v>4.5999999999999996</v>
      </c>
      <c r="I3" s="16">
        <f t="shared" ref="I3:I66" si="4">ROUNDUP(G3*1.2*$N$1,2)</f>
        <v>5.31</v>
      </c>
      <c r="J3" s="16">
        <f t="shared" ref="J3:J66" si="5">ROUNDUP(G3*1.03*$N$1,2)</f>
        <v>4.5599999999999996</v>
      </c>
      <c r="K3" s="16">
        <f t="shared" ref="K3:K66" si="6">N3*0.95</f>
        <v>0</v>
      </c>
      <c r="L3" s="17"/>
      <c r="M3" s="16">
        <f t="shared" ref="M3:M66" si="7">ROUNDUP(L3*0.88,2)</f>
        <v>0</v>
      </c>
      <c r="N3" s="17">
        <f t="shared" ref="N3:N66" si="8">ROUNDUP(L3*$N$1,2)</f>
        <v>0</v>
      </c>
      <c r="O3" s="17">
        <f t="shared" ref="O3:O66" si="9">ROUNDUP(N3*0.88,2)</f>
        <v>0</v>
      </c>
      <c r="P3" s="18">
        <f t="shared" ref="P3:P66" si="10">G3*C3</f>
        <v>77.5</v>
      </c>
      <c r="Q3" s="19">
        <f t="shared" ref="Q3:Q66" si="11">L3*C3</f>
        <v>0</v>
      </c>
      <c r="R3" s="19">
        <f t="shared" ref="R3:R66" si="12">Q3-P3</f>
        <v>-77.5</v>
      </c>
      <c r="S3" s="20"/>
      <c r="T3" s="21" t="s">
        <v>13</v>
      </c>
    </row>
    <row r="4" spans="1:20" ht="15.75" x14ac:dyDescent="0.25">
      <c r="A4" s="11">
        <f>[1]Лист4!A175</f>
        <v>8</v>
      </c>
      <c r="B4" s="12" t="str">
        <f>[1]Лист4!C175</f>
        <v>AKM06 Пион Сара Бернард</v>
      </c>
      <c r="C4" s="13">
        <f>[1]Лист4!D175</f>
        <v>50</v>
      </c>
      <c r="D4" s="14">
        <f>[1]Лист4!F175</f>
        <v>0.98</v>
      </c>
      <c r="E4" s="15">
        <f t="shared" si="0"/>
        <v>49</v>
      </c>
      <c r="F4" s="15">
        <f t="shared" si="1"/>
        <v>8.0947999999999992E-2</v>
      </c>
      <c r="G4" s="16">
        <f t="shared" si="2"/>
        <v>1.86</v>
      </c>
      <c r="H4" s="16">
        <f t="shared" si="3"/>
        <v>5.52</v>
      </c>
      <c r="I4" s="16">
        <f t="shared" si="4"/>
        <v>6.37</v>
      </c>
      <c r="J4" s="16">
        <f t="shared" si="5"/>
        <v>5.47</v>
      </c>
      <c r="K4" s="16">
        <f t="shared" si="6"/>
        <v>0</v>
      </c>
      <c r="L4" s="17"/>
      <c r="M4" s="16">
        <f t="shared" si="7"/>
        <v>0</v>
      </c>
      <c r="N4" s="17">
        <f t="shared" si="8"/>
        <v>0</v>
      </c>
      <c r="O4" s="17">
        <f t="shared" si="9"/>
        <v>0</v>
      </c>
      <c r="P4" s="18">
        <f t="shared" si="10"/>
        <v>93</v>
      </c>
      <c r="Q4" s="19">
        <f t="shared" si="11"/>
        <v>0</v>
      </c>
      <c r="R4" s="19">
        <f t="shared" si="12"/>
        <v>-93</v>
      </c>
      <c r="S4" s="20"/>
      <c r="T4" s="21" t="s">
        <v>13</v>
      </c>
    </row>
    <row r="5" spans="1:20" ht="15.75" x14ac:dyDescent="0.25">
      <c r="A5" s="11">
        <f>[1]Лист4!A137</f>
        <v>8</v>
      </c>
      <c r="B5" s="12" t="str">
        <f>[1]Лист4!C137</f>
        <v>AKM12 Гортензия Мэджик корал</v>
      </c>
      <c r="C5" s="13">
        <f>[1]Лист4!D137</f>
        <v>10</v>
      </c>
      <c r="D5" s="14">
        <f>[1]Лист4!F137</f>
        <v>2</v>
      </c>
      <c r="E5" s="15">
        <f t="shared" si="0"/>
        <v>20</v>
      </c>
      <c r="F5" s="15">
        <f t="shared" si="1"/>
        <v>0.16520000000000001</v>
      </c>
      <c r="G5" s="16">
        <f t="shared" si="2"/>
        <v>3.62</v>
      </c>
      <c r="H5" s="16">
        <f t="shared" si="3"/>
        <v>10.73</v>
      </c>
      <c r="I5" s="16">
        <f t="shared" si="4"/>
        <v>12.39</v>
      </c>
      <c r="J5" s="16">
        <f t="shared" si="5"/>
        <v>10.629999999999999</v>
      </c>
      <c r="K5" s="16">
        <f t="shared" si="6"/>
        <v>0</v>
      </c>
      <c r="L5" s="17"/>
      <c r="M5" s="16">
        <f t="shared" si="7"/>
        <v>0</v>
      </c>
      <c r="N5" s="17">
        <f t="shared" si="8"/>
        <v>0</v>
      </c>
      <c r="O5" s="17">
        <f t="shared" si="9"/>
        <v>0</v>
      </c>
      <c r="P5" s="18">
        <f t="shared" si="10"/>
        <v>36.200000000000003</v>
      </c>
      <c r="Q5" s="19">
        <f t="shared" si="11"/>
        <v>0</v>
      </c>
      <c r="R5" s="19">
        <f t="shared" si="12"/>
        <v>-36.200000000000003</v>
      </c>
      <c r="S5" s="20"/>
      <c r="T5" s="21" t="s">
        <v>14</v>
      </c>
    </row>
    <row r="6" spans="1:20" ht="15.75" x14ac:dyDescent="0.25">
      <c r="A6" s="11">
        <f>[1]Лист4!A151</f>
        <v>8</v>
      </c>
      <c r="B6" s="12" t="str">
        <f>[1]Лист4!C151</f>
        <v>AKM12 Лимониум фиолетовый</v>
      </c>
      <c r="C6" s="13">
        <f>[1]Лист4!D151</f>
        <v>25</v>
      </c>
      <c r="D6" s="14">
        <f>[1]Лист4!F151</f>
        <v>0.63</v>
      </c>
      <c r="E6" s="15">
        <f t="shared" si="0"/>
        <v>15.75</v>
      </c>
      <c r="F6" s="15">
        <f t="shared" si="1"/>
        <v>5.2038000000000001E-2</v>
      </c>
      <c r="G6" s="16">
        <f t="shared" si="2"/>
        <v>1.26</v>
      </c>
      <c r="H6" s="16">
        <f t="shared" si="3"/>
        <v>3.7399999999999998</v>
      </c>
      <c r="I6" s="16">
        <f t="shared" si="4"/>
        <v>4.3099999999999996</v>
      </c>
      <c r="J6" s="16">
        <f t="shared" si="5"/>
        <v>3.6999999999999997</v>
      </c>
      <c r="K6" s="16">
        <f t="shared" si="6"/>
        <v>0</v>
      </c>
      <c r="L6" s="17"/>
      <c r="M6" s="16">
        <f t="shared" si="7"/>
        <v>0</v>
      </c>
      <c r="N6" s="17">
        <f t="shared" si="8"/>
        <v>0</v>
      </c>
      <c r="O6" s="17">
        <f t="shared" si="9"/>
        <v>0</v>
      </c>
      <c r="P6" s="18">
        <f t="shared" si="10"/>
        <v>31.5</v>
      </c>
      <c r="Q6" s="19">
        <f t="shared" si="11"/>
        <v>0</v>
      </c>
      <c r="R6" s="19">
        <f t="shared" si="12"/>
        <v>-31.5</v>
      </c>
      <c r="S6" s="20"/>
      <c r="T6" s="21" t="s">
        <v>15</v>
      </c>
    </row>
    <row r="7" spans="1:20" ht="15.75" x14ac:dyDescent="0.25">
      <c r="A7" s="11">
        <f>[1]Лист4!A168</f>
        <v>8</v>
      </c>
      <c r="B7" s="12" t="str">
        <f>[1]Лист4!C168</f>
        <v>AKM12 Пион Александр Флейминг</v>
      </c>
      <c r="C7" s="13">
        <f>[1]Лист4!D168</f>
        <v>50</v>
      </c>
      <c r="D7" s="14">
        <f>[1]Лист4!F168</f>
        <v>0.98</v>
      </c>
      <c r="E7" s="15">
        <f t="shared" si="0"/>
        <v>49</v>
      </c>
      <c r="F7" s="15">
        <f t="shared" si="1"/>
        <v>8.0947999999999992E-2</v>
      </c>
      <c r="G7" s="16">
        <f t="shared" si="2"/>
        <v>1.86</v>
      </c>
      <c r="H7" s="16">
        <f t="shared" si="3"/>
        <v>5.52</v>
      </c>
      <c r="I7" s="16">
        <f t="shared" si="4"/>
        <v>6.37</v>
      </c>
      <c r="J7" s="16">
        <f t="shared" si="5"/>
        <v>5.47</v>
      </c>
      <c r="K7" s="16">
        <f t="shared" si="6"/>
        <v>0</v>
      </c>
      <c r="L7" s="17"/>
      <c r="M7" s="16">
        <f t="shared" si="7"/>
        <v>0</v>
      </c>
      <c r="N7" s="17">
        <f t="shared" si="8"/>
        <v>0</v>
      </c>
      <c r="O7" s="17">
        <f t="shared" si="9"/>
        <v>0</v>
      </c>
      <c r="P7" s="18">
        <f t="shared" si="10"/>
        <v>93</v>
      </c>
      <c r="Q7" s="19">
        <f t="shared" si="11"/>
        <v>0</v>
      </c>
      <c r="R7" s="19">
        <f t="shared" si="12"/>
        <v>-93</v>
      </c>
      <c r="S7" s="20"/>
      <c r="T7" s="21" t="s">
        <v>16</v>
      </c>
    </row>
    <row r="8" spans="1:20" ht="15.75" x14ac:dyDescent="0.25">
      <c r="A8" s="11">
        <f>[1]Лист4!A167</f>
        <v>8</v>
      </c>
      <c r="B8" s="12" t="str">
        <f>[1]Лист4!C167</f>
        <v>AKM12 Пион Алертие</v>
      </c>
      <c r="C8" s="13">
        <f>[1]Лист4!D167</f>
        <v>60</v>
      </c>
      <c r="D8" s="14">
        <f>[1]Лист4!F167</f>
        <v>0.71</v>
      </c>
      <c r="E8" s="15">
        <f t="shared" si="0"/>
        <v>42.599999999999994</v>
      </c>
      <c r="F8" s="15">
        <f t="shared" si="1"/>
        <v>5.8645999999999997E-2</v>
      </c>
      <c r="G8" s="16">
        <f t="shared" si="2"/>
        <v>1.39</v>
      </c>
      <c r="H8" s="16">
        <f t="shared" si="3"/>
        <v>4.12</v>
      </c>
      <c r="I8" s="16">
        <f t="shared" si="4"/>
        <v>4.76</v>
      </c>
      <c r="J8" s="16">
        <f t="shared" si="5"/>
        <v>4.09</v>
      </c>
      <c r="K8" s="16">
        <f t="shared" si="6"/>
        <v>0</v>
      </c>
      <c r="L8" s="17"/>
      <c r="M8" s="16">
        <f t="shared" si="7"/>
        <v>0</v>
      </c>
      <c r="N8" s="17">
        <f t="shared" si="8"/>
        <v>0</v>
      </c>
      <c r="O8" s="17">
        <f t="shared" si="9"/>
        <v>0</v>
      </c>
      <c r="P8" s="18">
        <f t="shared" si="10"/>
        <v>83.399999999999991</v>
      </c>
      <c r="Q8" s="19">
        <f t="shared" si="11"/>
        <v>0</v>
      </c>
      <c r="R8" s="19">
        <f t="shared" si="12"/>
        <v>-83.399999999999991</v>
      </c>
      <c r="S8" s="20"/>
      <c r="T8" s="21" t="s">
        <v>17</v>
      </c>
    </row>
    <row r="9" spans="1:20" ht="15.75" x14ac:dyDescent="0.25">
      <c r="A9" s="11">
        <f>[1]Лист4!A169</f>
        <v>8</v>
      </c>
      <c r="B9" s="12" t="str">
        <f>[1]Лист4!C169</f>
        <v>AKM12 Пион Дюшес белый</v>
      </c>
      <c r="C9" s="13">
        <f>[1]Лист4!D169</f>
        <v>40</v>
      </c>
      <c r="D9" s="14">
        <f>[1]Лист4!F169</f>
        <v>0.61</v>
      </c>
      <c r="E9" s="15">
        <f t="shared" si="0"/>
        <v>24.4</v>
      </c>
      <c r="F9" s="15">
        <f t="shared" si="1"/>
        <v>5.0386000000000007E-2</v>
      </c>
      <c r="G9" s="16">
        <f t="shared" si="2"/>
        <v>1.22</v>
      </c>
      <c r="H9" s="16">
        <f t="shared" si="3"/>
        <v>3.6199999999999997</v>
      </c>
      <c r="I9" s="16">
        <f t="shared" si="4"/>
        <v>4.18</v>
      </c>
      <c r="J9" s="16">
        <f t="shared" si="5"/>
        <v>3.59</v>
      </c>
      <c r="K9" s="16">
        <f t="shared" si="6"/>
        <v>0</v>
      </c>
      <c r="L9" s="17"/>
      <c r="M9" s="16">
        <f t="shared" si="7"/>
        <v>0</v>
      </c>
      <c r="N9" s="17">
        <f t="shared" si="8"/>
        <v>0</v>
      </c>
      <c r="O9" s="17">
        <f t="shared" si="9"/>
        <v>0</v>
      </c>
      <c r="P9" s="18">
        <f t="shared" si="10"/>
        <v>48.8</v>
      </c>
      <c r="Q9" s="19">
        <f t="shared" si="11"/>
        <v>0</v>
      </c>
      <c r="R9" s="19">
        <f t="shared" si="12"/>
        <v>-48.8</v>
      </c>
      <c r="S9" s="20"/>
      <c r="T9" s="21" t="s">
        <v>18</v>
      </c>
    </row>
    <row r="10" spans="1:20" ht="15.75" x14ac:dyDescent="0.25">
      <c r="A10" s="11">
        <f>[1]Лист4!A170</f>
        <v>8</v>
      </c>
      <c r="B10" s="12" t="str">
        <f>[1]Лист4!C170</f>
        <v>AKM12 Пион Канзас</v>
      </c>
      <c r="C10" s="13">
        <f>[1]Лист4!D170</f>
        <v>50</v>
      </c>
      <c r="D10" s="14">
        <f>[1]Лист4!F170</f>
        <v>0.77</v>
      </c>
      <c r="E10" s="15">
        <f t="shared" si="0"/>
        <v>38.5</v>
      </c>
      <c r="F10" s="15">
        <f t="shared" si="1"/>
        <v>6.3602000000000006E-2</v>
      </c>
      <c r="G10" s="16">
        <f t="shared" si="2"/>
        <v>1.5</v>
      </c>
      <c r="H10" s="16">
        <f t="shared" si="3"/>
        <v>4.45</v>
      </c>
      <c r="I10" s="16">
        <f t="shared" si="4"/>
        <v>5.13</v>
      </c>
      <c r="J10" s="16">
        <f t="shared" si="5"/>
        <v>4.41</v>
      </c>
      <c r="K10" s="16">
        <f t="shared" si="6"/>
        <v>0</v>
      </c>
      <c r="L10" s="17"/>
      <c r="M10" s="16">
        <f t="shared" si="7"/>
        <v>0</v>
      </c>
      <c r="N10" s="17">
        <f t="shared" si="8"/>
        <v>0</v>
      </c>
      <c r="O10" s="17">
        <f t="shared" si="9"/>
        <v>0</v>
      </c>
      <c r="P10" s="18">
        <f t="shared" si="10"/>
        <v>75</v>
      </c>
      <c r="Q10" s="19">
        <f t="shared" si="11"/>
        <v>0</v>
      </c>
      <c r="R10" s="19">
        <f t="shared" si="12"/>
        <v>-75</v>
      </c>
      <c r="S10" s="20"/>
      <c r="T10" s="21" t="s">
        <v>19</v>
      </c>
    </row>
    <row r="11" spans="1:20" ht="15.75" x14ac:dyDescent="0.25">
      <c r="A11" s="11">
        <f>[1]Лист4!A165</f>
        <v>8</v>
      </c>
      <c r="B11" s="12" t="str">
        <f>[1]Лист4!C165</f>
        <v>AKM12 Пион Корал Сансет</v>
      </c>
      <c r="C11" s="13">
        <f>[1]Лист4!D165</f>
        <v>40</v>
      </c>
      <c r="D11" s="14">
        <f>[1]Лист4!F165</f>
        <v>0.61</v>
      </c>
      <c r="E11" s="15">
        <f t="shared" si="0"/>
        <v>24.4</v>
      </c>
      <c r="F11" s="15">
        <f t="shared" si="1"/>
        <v>5.0386000000000007E-2</v>
      </c>
      <c r="G11" s="16">
        <f t="shared" si="2"/>
        <v>1.22</v>
      </c>
      <c r="H11" s="16">
        <f t="shared" si="3"/>
        <v>3.6199999999999997</v>
      </c>
      <c r="I11" s="16">
        <f t="shared" si="4"/>
        <v>4.18</v>
      </c>
      <c r="J11" s="16">
        <f t="shared" si="5"/>
        <v>3.59</v>
      </c>
      <c r="K11" s="16">
        <f t="shared" si="6"/>
        <v>0</v>
      </c>
      <c r="L11" s="17"/>
      <c r="M11" s="16">
        <f t="shared" si="7"/>
        <v>0</v>
      </c>
      <c r="N11" s="17">
        <f t="shared" si="8"/>
        <v>0</v>
      </c>
      <c r="O11" s="17">
        <f t="shared" si="9"/>
        <v>0</v>
      </c>
      <c r="P11" s="18">
        <f t="shared" si="10"/>
        <v>48.8</v>
      </c>
      <c r="Q11" s="19">
        <f t="shared" si="11"/>
        <v>0</v>
      </c>
      <c r="R11" s="19">
        <f t="shared" si="12"/>
        <v>-48.8</v>
      </c>
      <c r="S11" s="20"/>
      <c r="T11" s="21" t="s">
        <v>20</v>
      </c>
    </row>
    <row r="12" spans="1:20" ht="15.75" x14ac:dyDescent="0.25">
      <c r="A12" s="11">
        <f>[1]Лист4!A14</f>
        <v>1</v>
      </c>
      <c r="B12" s="12" t="str">
        <f>[1]Лист4!C14</f>
        <v>AKM12 Роза ветваистая париж Розевер 60</v>
      </c>
      <c r="C12" s="13">
        <f>[1]Лист4!D14</f>
        <v>30</v>
      </c>
      <c r="D12" s="14">
        <f>[1]Лист4!F14</f>
        <v>0.82</v>
      </c>
      <c r="E12" s="15">
        <f t="shared" si="0"/>
        <v>24.599999999999998</v>
      </c>
      <c r="F12" s="15">
        <f t="shared" si="1"/>
        <v>6.7732000000000001E-2</v>
      </c>
      <c r="G12" s="16">
        <f t="shared" si="2"/>
        <v>1.58</v>
      </c>
      <c r="H12" s="16">
        <f t="shared" si="3"/>
        <v>4.6899999999999995</v>
      </c>
      <c r="I12" s="16">
        <f t="shared" si="4"/>
        <v>5.41</v>
      </c>
      <c r="J12" s="16">
        <f t="shared" si="5"/>
        <v>4.6399999999999997</v>
      </c>
      <c r="K12" s="16">
        <f t="shared" si="6"/>
        <v>0</v>
      </c>
      <c r="L12" s="17"/>
      <c r="M12" s="16">
        <f t="shared" si="7"/>
        <v>0</v>
      </c>
      <c r="N12" s="17">
        <f t="shared" si="8"/>
        <v>0</v>
      </c>
      <c r="O12" s="17">
        <f t="shared" si="9"/>
        <v>0</v>
      </c>
      <c r="P12" s="18">
        <f t="shared" si="10"/>
        <v>47.400000000000006</v>
      </c>
      <c r="Q12" s="19">
        <f t="shared" si="11"/>
        <v>0</v>
      </c>
      <c r="R12" s="19">
        <f t="shared" si="12"/>
        <v>-47.400000000000006</v>
      </c>
      <c r="S12" s="20"/>
      <c r="T12" s="21" t="s">
        <v>21</v>
      </c>
    </row>
    <row r="13" spans="1:20" ht="15.75" x14ac:dyDescent="0.25">
      <c r="A13" s="11">
        <f>[1]Лист4!A7</f>
        <v>1</v>
      </c>
      <c r="B13" s="12" t="str">
        <f>[1]Лист4!C7</f>
        <v>AKM12 Роза ветвистая Пинк Дименсион NL 50</v>
      </c>
      <c r="C13" s="13">
        <f>[1]Лист4!D7</f>
        <v>30</v>
      </c>
      <c r="D13" s="14">
        <f>[1]Лист4!F7</f>
        <v>0.88</v>
      </c>
      <c r="E13" s="15">
        <f t="shared" si="0"/>
        <v>26.4</v>
      </c>
      <c r="F13" s="15">
        <f t="shared" si="1"/>
        <v>7.2688000000000003E-2</v>
      </c>
      <c r="G13" s="16">
        <f t="shared" si="2"/>
        <v>1.69</v>
      </c>
      <c r="H13" s="16">
        <f t="shared" si="3"/>
        <v>5.01</v>
      </c>
      <c r="I13" s="16">
        <f t="shared" si="4"/>
        <v>5.7799999999999994</v>
      </c>
      <c r="J13" s="16">
        <f t="shared" si="5"/>
        <v>4.97</v>
      </c>
      <c r="K13" s="16">
        <f t="shared" si="6"/>
        <v>0</v>
      </c>
      <c r="L13" s="17"/>
      <c r="M13" s="16">
        <f t="shared" si="7"/>
        <v>0</v>
      </c>
      <c r="N13" s="17">
        <f t="shared" si="8"/>
        <v>0</v>
      </c>
      <c r="O13" s="17">
        <f t="shared" si="9"/>
        <v>0</v>
      </c>
      <c r="P13" s="18">
        <f t="shared" si="10"/>
        <v>50.699999999999996</v>
      </c>
      <c r="Q13" s="19">
        <f t="shared" si="11"/>
        <v>0</v>
      </c>
      <c r="R13" s="19">
        <f t="shared" si="12"/>
        <v>-50.699999999999996</v>
      </c>
      <c r="S13" s="20"/>
      <c r="T13" s="21" t="s">
        <v>22</v>
      </c>
    </row>
    <row r="14" spans="1:20" ht="15.75" x14ac:dyDescent="0.25">
      <c r="A14" s="11">
        <f>[1]Лист4!A16</f>
        <v>1</v>
      </c>
      <c r="B14" s="12" t="str">
        <f>[1]Лист4!C16</f>
        <v>AKM12 Роза ветвистая Сноу трендсетр NL 60</v>
      </c>
      <c r="C14" s="13">
        <f>[1]Лист4!D16</f>
        <v>60</v>
      </c>
      <c r="D14" s="14">
        <f>[1]Лист4!F16</f>
        <v>0.53</v>
      </c>
      <c r="E14" s="15">
        <f t="shared" si="0"/>
        <v>31.8</v>
      </c>
      <c r="F14" s="15">
        <f t="shared" si="1"/>
        <v>4.3778000000000004E-2</v>
      </c>
      <c r="G14" s="16">
        <f t="shared" si="2"/>
        <v>1.08</v>
      </c>
      <c r="H14" s="16">
        <f t="shared" si="3"/>
        <v>3.21</v>
      </c>
      <c r="I14" s="16">
        <f t="shared" si="4"/>
        <v>3.6999999999999997</v>
      </c>
      <c r="J14" s="16">
        <f t="shared" si="5"/>
        <v>3.1799999999999997</v>
      </c>
      <c r="K14" s="16">
        <f t="shared" si="6"/>
        <v>0</v>
      </c>
      <c r="L14" s="17"/>
      <c r="M14" s="16">
        <f t="shared" si="7"/>
        <v>0</v>
      </c>
      <c r="N14" s="17">
        <f t="shared" si="8"/>
        <v>0</v>
      </c>
      <c r="O14" s="17">
        <f t="shared" si="9"/>
        <v>0</v>
      </c>
      <c r="P14" s="18">
        <f t="shared" si="10"/>
        <v>64.800000000000011</v>
      </c>
      <c r="Q14" s="19">
        <f t="shared" si="11"/>
        <v>0</v>
      </c>
      <c r="R14" s="19">
        <f t="shared" si="12"/>
        <v>-64.800000000000011</v>
      </c>
      <c r="S14" s="20"/>
      <c r="T14" s="21" t="s">
        <v>23</v>
      </c>
    </row>
    <row r="15" spans="1:20" ht="15.75" x14ac:dyDescent="0.25">
      <c r="A15" s="11">
        <f>[1]Лист4!A153</f>
        <v>8</v>
      </c>
      <c r="B15" s="12" t="str">
        <f>[1]Лист4!C153</f>
        <v>AKM12 Статица розовая</v>
      </c>
      <c r="C15" s="13">
        <f>[1]Лист4!D153</f>
        <v>50</v>
      </c>
      <c r="D15" s="14">
        <f>[1]Лист4!F153</f>
        <v>0.64</v>
      </c>
      <c r="E15" s="15">
        <f t="shared" si="0"/>
        <v>32</v>
      </c>
      <c r="F15" s="15">
        <f t="shared" si="1"/>
        <v>5.2864000000000001E-2</v>
      </c>
      <c r="G15" s="16">
        <f t="shared" si="2"/>
        <v>1.27</v>
      </c>
      <c r="H15" s="16">
        <f t="shared" si="3"/>
        <v>3.7699999999999996</v>
      </c>
      <c r="I15" s="16">
        <f t="shared" si="4"/>
        <v>4.3499999999999996</v>
      </c>
      <c r="J15" s="16">
        <f t="shared" si="5"/>
        <v>3.73</v>
      </c>
      <c r="K15" s="16">
        <f t="shared" si="6"/>
        <v>0</v>
      </c>
      <c r="L15" s="17"/>
      <c r="M15" s="16">
        <f t="shared" si="7"/>
        <v>0</v>
      </c>
      <c r="N15" s="17">
        <f t="shared" si="8"/>
        <v>0</v>
      </c>
      <c r="O15" s="17">
        <f t="shared" si="9"/>
        <v>0</v>
      </c>
      <c r="P15" s="18">
        <f t="shared" si="10"/>
        <v>63.5</v>
      </c>
      <c r="Q15" s="19">
        <f t="shared" si="11"/>
        <v>0</v>
      </c>
      <c r="R15" s="19">
        <f t="shared" si="12"/>
        <v>-63.5</v>
      </c>
      <c r="S15" s="20"/>
      <c r="T15" s="21" t="s">
        <v>24</v>
      </c>
    </row>
    <row r="16" spans="1:20" ht="15.75" x14ac:dyDescent="0.25">
      <c r="A16" s="11">
        <f>[1]Лист4!A92</f>
        <v>8</v>
      </c>
      <c r="B16" s="12" t="str">
        <f>[1]Лист4!C92</f>
        <v>AKM12 Хамелациум белый</v>
      </c>
      <c r="C16" s="13">
        <f>[1]Лист4!D92</f>
        <v>50</v>
      </c>
      <c r="D16" s="14">
        <f>[1]Лист4!F92</f>
        <v>0.64</v>
      </c>
      <c r="E16" s="15">
        <f t="shared" si="0"/>
        <v>32</v>
      </c>
      <c r="F16" s="15">
        <f t="shared" si="1"/>
        <v>5.2864000000000001E-2</v>
      </c>
      <c r="G16" s="16">
        <f t="shared" si="2"/>
        <v>1.27</v>
      </c>
      <c r="H16" s="16">
        <f t="shared" si="3"/>
        <v>3.7699999999999996</v>
      </c>
      <c r="I16" s="16">
        <f t="shared" si="4"/>
        <v>4.3499999999999996</v>
      </c>
      <c r="J16" s="16">
        <f t="shared" si="5"/>
        <v>3.73</v>
      </c>
      <c r="K16" s="16">
        <f t="shared" si="6"/>
        <v>0</v>
      </c>
      <c r="L16" s="17"/>
      <c r="M16" s="16">
        <f t="shared" si="7"/>
        <v>0</v>
      </c>
      <c r="N16" s="17">
        <f t="shared" si="8"/>
        <v>0</v>
      </c>
      <c r="O16" s="17">
        <f t="shared" si="9"/>
        <v>0</v>
      </c>
      <c r="P16" s="18">
        <f t="shared" si="10"/>
        <v>63.5</v>
      </c>
      <c r="Q16" s="19">
        <f t="shared" si="11"/>
        <v>0</v>
      </c>
      <c r="R16" s="19">
        <f t="shared" si="12"/>
        <v>-63.5</v>
      </c>
      <c r="S16" s="20"/>
      <c r="T16" s="21" t="s">
        <v>25</v>
      </c>
    </row>
    <row r="17" spans="1:20" ht="15.75" x14ac:dyDescent="0.25">
      <c r="A17" s="11">
        <f>[1]Лист4!A38</f>
        <v>2</v>
      </c>
      <c r="B17" s="12" t="str">
        <f>[1]Лист4!C38</f>
        <v>AKM12 Хризантема сантини белая</v>
      </c>
      <c r="C17" s="13">
        <f>[1]Лист4!D38</f>
        <v>50</v>
      </c>
      <c r="D17" s="14">
        <f>[1]Лист4!F38</f>
        <v>0.43</v>
      </c>
      <c r="E17" s="15">
        <f t="shared" si="0"/>
        <v>21.5</v>
      </c>
      <c r="F17" s="15">
        <f t="shared" si="1"/>
        <v>3.5518000000000001E-2</v>
      </c>
      <c r="G17" s="16">
        <f t="shared" si="2"/>
        <v>0.91</v>
      </c>
      <c r="H17" s="16">
        <f t="shared" si="3"/>
        <v>2.6999999999999997</v>
      </c>
      <c r="I17" s="16">
        <f t="shared" si="4"/>
        <v>3.1199999999999997</v>
      </c>
      <c r="J17" s="16">
        <f t="shared" si="5"/>
        <v>2.6799999999999997</v>
      </c>
      <c r="K17" s="16">
        <f t="shared" si="6"/>
        <v>0</v>
      </c>
      <c r="L17" s="17"/>
      <c r="M17" s="16">
        <f t="shared" si="7"/>
        <v>0</v>
      </c>
      <c r="N17" s="17">
        <f t="shared" si="8"/>
        <v>0</v>
      </c>
      <c r="O17" s="17">
        <f t="shared" si="9"/>
        <v>0</v>
      </c>
      <c r="P17" s="18">
        <f t="shared" si="10"/>
        <v>45.5</v>
      </c>
      <c r="Q17" s="19">
        <f t="shared" si="11"/>
        <v>0</v>
      </c>
      <c r="R17" s="19">
        <f t="shared" si="12"/>
        <v>-45.5</v>
      </c>
      <c r="S17" s="20"/>
      <c r="T17" s="21" t="s">
        <v>26</v>
      </c>
    </row>
    <row r="18" spans="1:20" ht="15.75" x14ac:dyDescent="0.25">
      <c r="A18" s="11">
        <f>[1]Лист4!A74</f>
        <v>8</v>
      </c>
      <c r="B18" s="12" t="str">
        <f>[1]Лист4!C74</f>
        <v>AKM13 Аллиум</v>
      </c>
      <c r="C18" s="13">
        <f>[1]Лист4!D74</f>
        <v>100</v>
      </c>
      <c r="D18" s="14">
        <f>[1]Лист4!F74</f>
        <v>0.01</v>
      </c>
      <c r="E18" s="15">
        <f t="shared" si="0"/>
        <v>1</v>
      </c>
      <c r="F18" s="15">
        <f t="shared" si="1"/>
        <v>8.2600000000000002E-4</v>
      </c>
      <c r="G18" s="16">
        <f t="shared" si="2"/>
        <v>0.19</v>
      </c>
      <c r="H18" s="16">
        <f t="shared" si="3"/>
        <v>0.57000000000000006</v>
      </c>
      <c r="I18" s="16">
        <f t="shared" si="4"/>
        <v>0.65</v>
      </c>
      <c r="J18" s="16">
        <f t="shared" si="5"/>
        <v>0.56000000000000005</v>
      </c>
      <c r="K18" s="16">
        <f t="shared" si="6"/>
        <v>0</v>
      </c>
      <c r="L18" s="17"/>
      <c r="M18" s="16">
        <f t="shared" si="7"/>
        <v>0</v>
      </c>
      <c r="N18" s="17">
        <f t="shared" si="8"/>
        <v>0</v>
      </c>
      <c r="O18" s="17">
        <f t="shared" si="9"/>
        <v>0</v>
      </c>
      <c r="P18" s="18">
        <f t="shared" si="10"/>
        <v>19</v>
      </c>
      <c r="Q18" s="19">
        <f t="shared" si="11"/>
        <v>0</v>
      </c>
      <c r="R18" s="19">
        <f t="shared" si="12"/>
        <v>-19</v>
      </c>
      <c r="S18" s="20"/>
      <c r="T18" s="21" t="s">
        <v>27</v>
      </c>
    </row>
    <row r="19" spans="1:20" ht="15.75" x14ac:dyDescent="0.25">
      <c r="A19" s="11">
        <f>[1]Лист4!A100</f>
        <v>8</v>
      </c>
      <c r="B19" s="12" t="str">
        <f>[1]Лист4!C100</f>
        <v>AKM13 Драцена флорида</v>
      </c>
      <c r="C19" s="13">
        <f>[1]Лист4!D100</f>
        <v>50</v>
      </c>
      <c r="D19" s="14">
        <f>[1]Лист4!F100</f>
        <v>0.32</v>
      </c>
      <c r="E19" s="15">
        <f t="shared" si="0"/>
        <v>16</v>
      </c>
      <c r="F19" s="15">
        <f t="shared" si="1"/>
        <v>2.6432000000000001E-2</v>
      </c>
      <c r="G19" s="16">
        <f t="shared" si="2"/>
        <v>0.72</v>
      </c>
      <c r="H19" s="16">
        <f t="shared" si="3"/>
        <v>2.1399999999999997</v>
      </c>
      <c r="I19" s="16">
        <f t="shared" si="4"/>
        <v>2.4699999999999998</v>
      </c>
      <c r="J19" s="16">
        <f t="shared" si="5"/>
        <v>2.1199999999999997</v>
      </c>
      <c r="K19" s="16">
        <f t="shared" si="6"/>
        <v>0</v>
      </c>
      <c r="L19" s="17"/>
      <c r="M19" s="16">
        <f t="shared" si="7"/>
        <v>0</v>
      </c>
      <c r="N19" s="17">
        <f t="shared" si="8"/>
        <v>0</v>
      </c>
      <c r="O19" s="17">
        <f t="shared" si="9"/>
        <v>0</v>
      </c>
      <c r="P19" s="18">
        <f t="shared" si="10"/>
        <v>36</v>
      </c>
      <c r="Q19" s="19">
        <f t="shared" si="11"/>
        <v>0</v>
      </c>
      <c r="R19" s="19">
        <f t="shared" si="12"/>
        <v>-36</v>
      </c>
      <c r="S19" s="20"/>
      <c r="T19" s="21" t="s">
        <v>28</v>
      </c>
    </row>
    <row r="20" spans="1:20" ht="15.75" x14ac:dyDescent="0.25">
      <c r="A20" s="11">
        <f>[1]Лист4!A198</f>
        <v>8</v>
      </c>
      <c r="B20" s="12" t="str">
        <f>[1]Лист4!C198</f>
        <v>AKM13 Калла Раноми</v>
      </c>
      <c r="C20" s="13">
        <f>[1]Лист4!D198</f>
        <v>20</v>
      </c>
      <c r="D20" s="14">
        <f>[1]Лист4!F198</f>
        <v>0.49</v>
      </c>
      <c r="E20" s="15">
        <f t="shared" si="0"/>
        <v>9.8000000000000007</v>
      </c>
      <c r="F20" s="15">
        <f t="shared" si="1"/>
        <v>4.0473999999999996E-2</v>
      </c>
      <c r="G20" s="16">
        <f t="shared" si="2"/>
        <v>1.01</v>
      </c>
      <c r="H20" s="16">
        <f t="shared" si="3"/>
        <v>3</v>
      </c>
      <c r="I20" s="16">
        <f t="shared" si="4"/>
        <v>3.46</v>
      </c>
      <c r="J20" s="16">
        <f t="shared" si="5"/>
        <v>2.9699999999999998</v>
      </c>
      <c r="K20" s="16">
        <f t="shared" si="6"/>
        <v>0</v>
      </c>
      <c r="L20" s="17"/>
      <c r="M20" s="16">
        <f t="shared" si="7"/>
        <v>0</v>
      </c>
      <c r="N20" s="17">
        <f t="shared" si="8"/>
        <v>0</v>
      </c>
      <c r="O20" s="17">
        <f t="shared" si="9"/>
        <v>0</v>
      </c>
      <c r="P20" s="18">
        <f t="shared" si="10"/>
        <v>20.2</v>
      </c>
      <c r="Q20" s="19">
        <f t="shared" si="11"/>
        <v>0</v>
      </c>
      <c r="R20" s="19">
        <f t="shared" si="12"/>
        <v>-20.2</v>
      </c>
      <c r="S20" s="20"/>
      <c r="T20" s="21" t="s">
        <v>29</v>
      </c>
    </row>
    <row r="21" spans="1:20" ht="15.75" x14ac:dyDescent="0.25">
      <c r="A21" s="11">
        <f>[1]Лист4!A70</f>
        <v>6</v>
      </c>
      <c r="B21" s="12" t="str">
        <f>[1]Лист4!C70</f>
        <v>AKM13 Лилия белая</v>
      </c>
      <c r="C21" s="13">
        <f>[1]Лист4!D70</f>
        <v>40</v>
      </c>
      <c r="D21" s="14">
        <f>[1]Лист4!F70</f>
        <v>1.1000000000000001</v>
      </c>
      <c r="E21" s="15">
        <f t="shared" si="0"/>
        <v>44</v>
      </c>
      <c r="F21" s="15">
        <f t="shared" si="1"/>
        <v>9.086000000000001E-2</v>
      </c>
      <c r="G21" s="16">
        <f t="shared" si="2"/>
        <v>2.0699999999999998</v>
      </c>
      <c r="H21" s="16">
        <f t="shared" si="3"/>
        <v>6.14</v>
      </c>
      <c r="I21" s="16">
        <f t="shared" si="4"/>
        <v>7.08</v>
      </c>
      <c r="J21" s="16">
        <f t="shared" si="5"/>
        <v>6.08</v>
      </c>
      <c r="K21" s="16">
        <f t="shared" si="6"/>
        <v>0</v>
      </c>
      <c r="L21" s="17"/>
      <c r="M21" s="16">
        <f t="shared" si="7"/>
        <v>0</v>
      </c>
      <c r="N21" s="17">
        <f t="shared" si="8"/>
        <v>0</v>
      </c>
      <c r="O21" s="17">
        <f t="shared" si="9"/>
        <v>0</v>
      </c>
      <c r="P21" s="18">
        <f t="shared" si="10"/>
        <v>82.8</v>
      </c>
      <c r="Q21" s="19">
        <f t="shared" si="11"/>
        <v>0</v>
      </c>
      <c r="R21" s="19">
        <f t="shared" si="12"/>
        <v>-82.8</v>
      </c>
      <c r="S21" s="20"/>
      <c r="T21" s="21" t="s">
        <v>30</v>
      </c>
    </row>
    <row r="22" spans="1:20" ht="15.75" x14ac:dyDescent="0.25">
      <c r="A22" s="11">
        <f>[1]Лист4!A157</f>
        <v>8</v>
      </c>
      <c r="B22" s="12" t="str">
        <f>[1]Лист4!C157</f>
        <v>AKM13 Лимониум белый</v>
      </c>
      <c r="C22" s="13">
        <f>[1]Лист4!D157</f>
        <v>50</v>
      </c>
      <c r="D22" s="14">
        <f>[1]Лист4!F157</f>
        <v>0.32</v>
      </c>
      <c r="E22" s="15">
        <f t="shared" si="0"/>
        <v>16</v>
      </c>
      <c r="F22" s="15">
        <f t="shared" si="1"/>
        <v>2.6432000000000001E-2</v>
      </c>
      <c r="G22" s="16">
        <f t="shared" si="2"/>
        <v>0.72</v>
      </c>
      <c r="H22" s="16">
        <f t="shared" si="3"/>
        <v>2.1399999999999997</v>
      </c>
      <c r="I22" s="16">
        <f t="shared" si="4"/>
        <v>2.4699999999999998</v>
      </c>
      <c r="J22" s="16">
        <f t="shared" si="5"/>
        <v>2.1199999999999997</v>
      </c>
      <c r="K22" s="16">
        <f t="shared" si="6"/>
        <v>0</v>
      </c>
      <c r="L22" s="17"/>
      <c r="M22" s="16">
        <f t="shared" si="7"/>
        <v>0</v>
      </c>
      <c r="N22" s="17">
        <f t="shared" si="8"/>
        <v>0</v>
      </c>
      <c r="O22" s="17">
        <f t="shared" si="9"/>
        <v>0</v>
      </c>
      <c r="P22" s="18">
        <f t="shared" si="10"/>
        <v>36</v>
      </c>
      <c r="Q22" s="19">
        <f t="shared" si="11"/>
        <v>0</v>
      </c>
      <c r="R22" s="19">
        <f t="shared" si="12"/>
        <v>-36</v>
      </c>
      <c r="S22" s="20"/>
      <c r="T22" s="21" t="s">
        <v>31</v>
      </c>
    </row>
    <row r="23" spans="1:20" ht="15.75" x14ac:dyDescent="0.25">
      <c r="A23" s="11">
        <f>[1]Лист4!A156</f>
        <v>8</v>
      </c>
      <c r="B23" s="12" t="str">
        <f>[1]Лист4!C156</f>
        <v>AKM13 Лимониум синий</v>
      </c>
      <c r="C23" s="13">
        <f>[1]Лист4!D156</f>
        <v>50</v>
      </c>
      <c r="D23" s="14">
        <f>[1]Лист4!F156</f>
        <v>0.37</v>
      </c>
      <c r="E23" s="15">
        <f t="shared" si="0"/>
        <v>18.5</v>
      </c>
      <c r="F23" s="15">
        <f t="shared" si="1"/>
        <v>3.0562000000000002E-2</v>
      </c>
      <c r="G23" s="16">
        <f t="shared" si="2"/>
        <v>0.81</v>
      </c>
      <c r="H23" s="16">
        <f t="shared" si="3"/>
        <v>2.4099999999999997</v>
      </c>
      <c r="I23" s="16">
        <f t="shared" si="4"/>
        <v>2.78</v>
      </c>
      <c r="J23" s="16">
        <f t="shared" si="5"/>
        <v>2.38</v>
      </c>
      <c r="K23" s="16">
        <f t="shared" si="6"/>
        <v>0</v>
      </c>
      <c r="L23" s="17"/>
      <c r="M23" s="16">
        <f t="shared" si="7"/>
        <v>0</v>
      </c>
      <c r="N23" s="17">
        <f t="shared" si="8"/>
        <v>0</v>
      </c>
      <c r="O23" s="17">
        <f t="shared" si="9"/>
        <v>0</v>
      </c>
      <c r="P23" s="18">
        <f t="shared" si="10"/>
        <v>40.5</v>
      </c>
      <c r="Q23" s="19">
        <f t="shared" si="11"/>
        <v>0</v>
      </c>
      <c r="R23" s="19">
        <f t="shared" si="12"/>
        <v>-40.5</v>
      </c>
      <c r="S23" s="20"/>
      <c r="T23" s="21" t="s">
        <v>32</v>
      </c>
    </row>
    <row r="24" spans="1:20" ht="15.75" x14ac:dyDescent="0.25">
      <c r="A24" s="11">
        <f>[1]Лист4!A166</f>
        <v>8</v>
      </c>
      <c r="B24" s="12" t="str">
        <f>[1]Лист4!C166</f>
        <v>AKM13 Пион Диана</v>
      </c>
      <c r="C24" s="13">
        <f>[1]Лист4!D166</f>
        <v>40</v>
      </c>
      <c r="D24" s="14">
        <f>[1]Лист4!F166</f>
        <v>0.57999999999999996</v>
      </c>
      <c r="E24" s="15">
        <f t="shared" si="0"/>
        <v>23.2</v>
      </c>
      <c r="F24" s="15">
        <f t="shared" si="1"/>
        <v>4.7907999999999999E-2</v>
      </c>
      <c r="G24" s="16">
        <f t="shared" si="2"/>
        <v>1.17</v>
      </c>
      <c r="H24" s="16">
        <f t="shared" si="3"/>
        <v>3.4699999999999998</v>
      </c>
      <c r="I24" s="16">
        <f t="shared" si="4"/>
        <v>4.01</v>
      </c>
      <c r="J24" s="16">
        <f t="shared" si="5"/>
        <v>3.44</v>
      </c>
      <c r="K24" s="16">
        <f t="shared" si="6"/>
        <v>0</v>
      </c>
      <c r="L24" s="17"/>
      <c r="M24" s="16">
        <f t="shared" si="7"/>
        <v>0</v>
      </c>
      <c r="N24" s="17">
        <f t="shared" si="8"/>
        <v>0</v>
      </c>
      <c r="O24" s="17">
        <f t="shared" si="9"/>
        <v>0</v>
      </c>
      <c r="P24" s="18">
        <f t="shared" si="10"/>
        <v>46.8</v>
      </c>
      <c r="Q24" s="19">
        <f t="shared" si="11"/>
        <v>0</v>
      </c>
      <c r="R24" s="19">
        <f t="shared" si="12"/>
        <v>-46.8</v>
      </c>
      <c r="S24" s="20"/>
      <c r="T24" s="21" t="s">
        <v>33</v>
      </c>
    </row>
    <row r="25" spans="1:20" ht="15.75" x14ac:dyDescent="0.25">
      <c r="A25" s="11">
        <f>[1]Лист4!A171</f>
        <v>8</v>
      </c>
      <c r="B25" s="12" t="str">
        <f>[1]Лист4!C171</f>
        <v>AKM13 Пион Карл</v>
      </c>
      <c r="C25" s="13">
        <f>[1]Лист4!D171</f>
        <v>100</v>
      </c>
      <c r="D25" s="14">
        <f>[1]Лист4!F171</f>
        <v>0.53</v>
      </c>
      <c r="E25" s="15">
        <f t="shared" si="0"/>
        <v>53</v>
      </c>
      <c r="F25" s="15">
        <f t="shared" si="1"/>
        <v>4.3778000000000004E-2</v>
      </c>
      <c r="G25" s="16">
        <f t="shared" si="2"/>
        <v>1.08</v>
      </c>
      <c r="H25" s="16">
        <f t="shared" si="3"/>
        <v>3.21</v>
      </c>
      <c r="I25" s="16">
        <f t="shared" si="4"/>
        <v>3.6999999999999997</v>
      </c>
      <c r="J25" s="16">
        <f t="shared" si="5"/>
        <v>3.1799999999999997</v>
      </c>
      <c r="K25" s="16">
        <f t="shared" si="6"/>
        <v>0</v>
      </c>
      <c r="L25" s="17"/>
      <c r="M25" s="16">
        <f t="shared" si="7"/>
        <v>0</v>
      </c>
      <c r="N25" s="17">
        <f t="shared" si="8"/>
        <v>0</v>
      </c>
      <c r="O25" s="17">
        <f t="shared" si="9"/>
        <v>0</v>
      </c>
      <c r="P25" s="18">
        <f t="shared" si="10"/>
        <v>108</v>
      </c>
      <c r="Q25" s="19">
        <f t="shared" si="11"/>
        <v>0</v>
      </c>
      <c r="R25" s="19">
        <f t="shared" si="12"/>
        <v>-108</v>
      </c>
      <c r="S25" s="20"/>
      <c r="T25" s="21" t="s">
        <v>34</v>
      </c>
    </row>
    <row r="26" spans="1:20" ht="15.75" x14ac:dyDescent="0.25">
      <c r="A26" s="11">
        <f>[1]Лист4!A172</f>
        <v>8</v>
      </c>
      <c r="B26" s="12" t="str">
        <f>[1]Лист4!C172</f>
        <v>AKM13 Пион мисс Америка</v>
      </c>
      <c r="C26" s="13">
        <f>[1]Лист4!D172</f>
        <v>60</v>
      </c>
      <c r="D26" s="14">
        <f>[1]Лист4!F172</f>
        <v>0.45</v>
      </c>
      <c r="E26" s="15">
        <f t="shared" si="0"/>
        <v>27</v>
      </c>
      <c r="F26" s="15">
        <f t="shared" si="1"/>
        <v>3.7170000000000009E-2</v>
      </c>
      <c r="G26" s="16">
        <f t="shared" si="2"/>
        <v>0.95</v>
      </c>
      <c r="H26" s="16">
        <f t="shared" si="3"/>
        <v>2.82</v>
      </c>
      <c r="I26" s="16">
        <f t="shared" si="4"/>
        <v>3.25</v>
      </c>
      <c r="J26" s="16">
        <f t="shared" si="5"/>
        <v>2.7899999999999996</v>
      </c>
      <c r="K26" s="16">
        <f t="shared" si="6"/>
        <v>0</v>
      </c>
      <c r="L26" s="17"/>
      <c r="M26" s="16">
        <f t="shared" si="7"/>
        <v>0</v>
      </c>
      <c r="N26" s="17">
        <f t="shared" si="8"/>
        <v>0</v>
      </c>
      <c r="O26" s="17">
        <f t="shared" si="9"/>
        <v>0</v>
      </c>
      <c r="P26" s="18">
        <f t="shared" si="10"/>
        <v>57</v>
      </c>
      <c r="Q26" s="19">
        <f t="shared" si="11"/>
        <v>0</v>
      </c>
      <c r="R26" s="19">
        <f t="shared" si="12"/>
        <v>-57</v>
      </c>
      <c r="S26" s="20"/>
      <c r="T26" s="21" t="s">
        <v>35</v>
      </c>
    </row>
    <row r="27" spans="1:20" ht="15.75" x14ac:dyDescent="0.25">
      <c r="A27" s="11">
        <f>[1]Лист4!A185</f>
        <v>8</v>
      </c>
      <c r="B27" s="12" t="str">
        <f>[1]Лист4!C185</f>
        <v>AKM13 Ранункулус клуни Ханой</v>
      </c>
      <c r="C27" s="13">
        <f>[1]Лист4!D185</f>
        <v>90</v>
      </c>
      <c r="D27" s="14">
        <f>[1]Лист4!F185</f>
        <v>2.1799999999999997</v>
      </c>
      <c r="E27" s="15">
        <f t="shared" si="0"/>
        <v>196.2</v>
      </c>
      <c r="F27" s="15">
        <f t="shared" si="1"/>
        <v>0.18006799999999998</v>
      </c>
      <c r="G27" s="16">
        <f t="shared" si="2"/>
        <v>3.93</v>
      </c>
      <c r="H27" s="16">
        <f t="shared" si="3"/>
        <v>11.65</v>
      </c>
      <c r="I27" s="16">
        <f t="shared" si="4"/>
        <v>13.45</v>
      </c>
      <c r="J27" s="16">
        <f t="shared" si="5"/>
        <v>11.54</v>
      </c>
      <c r="K27" s="16">
        <f t="shared" si="6"/>
        <v>0</v>
      </c>
      <c r="L27" s="17"/>
      <c r="M27" s="16">
        <f t="shared" si="7"/>
        <v>0</v>
      </c>
      <c r="N27" s="17">
        <f t="shared" si="8"/>
        <v>0</v>
      </c>
      <c r="O27" s="17">
        <f t="shared" si="9"/>
        <v>0</v>
      </c>
      <c r="P27" s="18">
        <f t="shared" si="10"/>
        <v>353.7</v>
      </c>
      <c r="Q27" s="19">
        <f t="shared" si="11"/>
        <v>0</v>
      </c>
      <c r="R27" s="19">
        <f t="shared" si="12"/>
        <v>-353.7</v>
      </c>
      <c r="S27" s="20"/>
      <c r="T27" s="21" t="s">
        <v>36</v>
      </c>
    </row>
    <row r="28" spans="1:20" ht="15.75" x14ac:dyDescent="0.25">
      <c r="A28" s="11">
        <f>[1]Лист4!A11</f>
        <v>1</v>
      </c>
      <c r="B28" s="12" t="str">
        <f>[1]Лист4!C11</f>
        <v>AKM13 Роза H3o NL 60</v>
      </c>
      <c r="C28" s="13">
        <f>[1]Лист4!D11</f>
        <v>120</v>
      </c>
      <c r="D28" s="14">
        <f>[1]Лист4!F11</f>
        <v>0.2</v>
      </c>
      <c r="E28" s="15">
        <f t="shared" si="0"/>
        <v>24</v>
      </c>
      <c r="F28" s="15">
        <f t="shared" si="1"/>
        <v>1.652E-2</v>
      </c>
      <c r="G28" s="16">
        <f t="shared" si="2"/>
        <v>0.51</v>
      </c>
      <c r="H28" s="16">
        <f t="shared" si="3"/>
        <v>1.52</v>
      </c>
      <c r="I28" s="16">
        <f t="shared" si="4"/>
        <v>1.75</v>
      </c>
      <c r="J28" s="16">
        <f t="shared" si="5"/>
        <v>1.5</v>
      </c>
      <c r="K28" s="16">
        <f t="shared" si="6"/>
        <v>0</v>
      </c>
      <c r="L28" s="17"/>
      <c r="M28" s="16">
        <f t="shared" si="7"/>
        <v>0</v>
      </c>
      <c r="N28" s="17">
        <f t="shared" si="8"/>
        <v>0</v>
      </c>
      <c r="O28" s="17">
        <f t="shared" si="9"/>
        <v>0</v>
      </c>
      <c r="P28" s="18">
        <f t="shared" si="10"/>
        <v>61.2</v>
      </c>
      <c r="Q28" s="19">
        <f t="shared" si="11"/>
        <v>0</v>
      </c>
      <c r="R28" s="19">
        <f t="shared" si="12"/>
        <v>-61.2</v>
      </c>
      <c r="S28" s="20"/>
      <c r="T28" s="21" t="s">
        <v>37</v>
      </c>
    </row>
    <row r="29" spans="1:20" ht="15.75" x14ac:dyDescent="0.25">
      <c r="A29" s="11">
        <f>[1]Лист4!A10</f>
        <v>1</v>
      </c>
      <c r="B29" s="12" t="str">
        <f>[1]Лист4!C10</f>
        <v>AKM13 Роза Бизу NL 60</v>
      </c>
      <c r="C29" s="13">
        <f>[1]Лист4!D10</f>
        <v>100</v>
      </c>
      <c r="D29" s="14">
        <f>[1]Лист4!F10</f>
        <v>0.2</v>
      </c>
      <c r="E29" s="15">
        <f t="shared" si="0"/>
        <v>20</v>
      </c>
      <c r="F29" s="15">
        <f t="shared" si="1"/>
        <v>1.652E-2</v>
      </c>
      <c r="G29" s="16">
        <f t="shared" si="2"/>
        <v>0.51</v>
      </c>
      <c r="H29" s="16">
        <f t="shared" si="3"/>
        <v>1.52</v>
      </c>
      <c r="I29" s="16">
        <f t="shared" si="4"/>
        <v>1.75</v>
      </c>
      <c r="J29" s="16">
        <f t="shared" si="5"/>
        <v>1.5</v>
      </c>
      <c r="K29" s="16">
        <f t="shared" si="6"/>
        <v>0</v>
      </c>
      <c r="L29" s="17"/>
      <c r="M29" s="16">
        <f t="shared" si="7"/>
        <v>0</v>
      </c>
      <c r="N29" s="17">
        <f t="shared" si="8"/>
        <v>0</v>
      </c>
      <c r="O29" s="17">
        <f t="shared" si="9"/>
        <v>0</v>
      </c>
      <c r="P29" s="18">
        <f t="shared" si="10"/>
        <v>51</v>
      </c>
      <c r="Q29" s="19">
        <f t="shared" si="11"/>
        <v>0</v>
      </c>
      <c r="R29" s="19">
        <f t="shared" si="12"/>
        <v>-51</v>
      </c>
      <c r="S29" s="20"/>
      <c r="T29" s="21" t="s">
        <v>38</v>
      </c>
    </row>
    <row r="30" spans="1:20" ht="15.75" x14ac:dyDescent="0.25">
      <c r="A30" s="11">
        <f>[1]Лист4!A3</f>
        <v>1</v>
      </c>
      <c r="B30" s="12" t="str">
        <f>[1]Лист4!C3</f>
        <v>AKM13 Роза Бэбифейс NL 50</v>
      </c>
      <c r="C30" s="13">
        <f>[1]Лист4!D3</f>
        <v>100</v>
      </c>
      <c r="D30" s="14">
        <f>[1]Лист4!F3</f>
        <v>0.16</v>
      </c>
      <c r="E30" s="15">
        <f t="shared" si="0"/>
        <v>16</v>
      </c>
      <c r="F30" s="15">
        <f t="shared" si="1"/>
        <v>1.3216E-2</v>
      </c>
      <c r="G30" s="16">
        <f t="shared" si="2"/>
        <v>0.44</v>
      </c>
      <c r="H30" s="16">
        <f t="shared" si="3"/>
        <v>1.31</v>
      </c>
      <c r="I30" s="16">
        <f t="shared" si="4"/>
        <v>1.51</v>
      </c>
      <c r="J30" s="16">
        <f t="shared" si="5"/>
        <v>1.3</v>
      </c>
      <c r="K30" s="16">
        <f t="shared" si="6"/>
        <v>0</v>
      </c>
      <c r="L30" s="17"/>
      <c r="M30" s="16">
        <f t="shared" si="7"/>
        <v>0</v>
      </c>
      <c r="N30" s="17">
        <f t="shared" si="8"/>
        <v>0</v>
      </c>
      <c r="O30" s="17">
        <f t="shared" si="9"/>
        <v>0</v>
      </c>
      <c r="P30" s="18">
        <f t="shared" si="10"/>
        <v>44</v>
      </c>
      <c r="Q30" s="19">
        <f t="shared" si="11"/>
        <v>0</v>
      </c>
      <c r="R30" s="19">
        <f t="shared" si="12"/>
        <v>-44</v>
      </c>
      <c r="S30" s="20"/>
      <c r="T30" s="21" t="s">
        <v>39</v>
      </c>
    </row>
    <row r="31" spans="1:20" ht="15.75" x14ac:dyDescent="0.25">
      <c r="A31" s="11">
        <f>[1]Лист4!A24</f>
        <v>1</v>
      </c>
      <c r="B31" s="12" t="str">
        <f>[1]Лист4!C24</f>
        <v>AKM13 Роза ветвистая Роял Блаш NL 70</v>
      </c>
      <c r="C31" s="13">
        <f>[1]Лист4!D24</f>
        <v>40</v>
      </c>
      <c r="D31" s="14">
        <f>[1]Лист4!F24</f>
        <v>2.58</v>
      </c>
      <c r="E31" s="15">
        <f t="shared" si="0"/>
        <v>103.2</v>
      </c>
      <c r="F31" s="15">
        <f t="shared" si="1"/>
        <v>0.21310800000000002</v>
      </c>
      <c r="G31" s="16">
        <f t="shared" si="2"/>
        <v>4.63</v>
      </c>
      <c r="H31" s="16">
        <f t="shared" si="3"/>
        <v>13.73</v>
      </c>
      <c r="I31" s="16">
        <f t="shared" si="4"/>
        <v>15.84</v>
      </c>
      <c r="J31" s="16">
        <f t="shared" si="5"/>
        <v>13.6</v>
      </c>
      <c r="K31" s="16">
        <f t="shared" si="6"/>
        <v>0</v>
      </c>
      <c r="L31" s="17"/>
      <c r="M31" s="16">
        <f t="shared" si="7"/>
        <v>0</v>
      </c>
      <c r="N31" s="17">
        <f t="shared" si="8"/>
        <v>0</v>
      </c>
      <c r="O31" s="17">
        <f t="shared" si="9"/>
        <v>0</v>
      </c>
      <c r="P31" s="18">
        <f t="shared" si="10"/>
        <v>185.2</v>
      </c>
      <c r="Q31" s="19">
        <f t="shared" si="11"/>
        <v>0</v>
      </c>
      <c r="R31" s="19">
        <f t="shared" si="12"/>
        <v>-185.2</v>
      </c>
      <c r="S31" s="20"/>
      <c r="T31" s="21" t="s">
        <v>40</v>
      </c>
    </row>
    <row r="32" spans="1:20" ht="15.75" x14ac:dyDescent="0.25">
      <c r="A32" s="11">
        <f>[1]Лист4!A19</f>
        <v>1</v>
      </c>
      <c r="B32" s="12" t="str">
        <f>[1]Лист4!C19</f>
        <v>AKM13 Роза Джэкпот NL 70</v>
      </c>
      <c r="C32" s="13">
        <f>[1]Лист4!D19</f>
        <v>100</v>
      </c>
      <c r="D32" s="14">
        <f>[1]Лист4!F19</f>
        <v>0.2</v>
      </c>
      <c r="E32" s="15">
        <f t="shared" si="0"/>
        <v>20</v>
      </c>
      <c r="F32" s="15">
        <f t="shared" si="1"/>
        <v>1.652E-2</v>
      </c>
      <c r="G32" s="16">
        <f t="shared" si="2"/>
        <v>0.51</v>
      </c>
      <c r="H32" s="16">
        <f t="shared" si="3"/>
        <v>1.52</v>
      </c>
      <c r="I32" s="16">
        <f t="shared" si="4"/>
        <v>1.75</v>
      </c>
      <c r="J32" s="16">
        <f t="shared" si="5"/>
        <v>1.5</v>
      </c>
      <c r="K32" s="16">
        <f t="shared" si="6"/>
        <v>0</v>
      </c>
      <c r="L32" s="17"/>
      <c r="M32" s="16">
        <f t="shared" si="7"/>
        <v>0</v>
      </c>
      <c r="N32" s="17">
        <f t="shared" si="8"/>
        <v>0</v>
      </c>
      <c r="O32" s="17">
        <f t="shared" si="9"/>
        <v>0</v>
      </c>
      <c r="P32" s="18">
        <f t="shared" si="10"/>
        <v>51</v>
      </c>
      <c r="Q32" s="19">
        <f t="shared" si="11"/>
        <v>0</v>
      </c>
      <c r="R32" s="19">
        <f t="shared" si="12"/>
        <v>-51</v>
      </c>
      <c r="S32" s="20"/>
      <c r="T32" s="21" t="s">
        <v>41</v>
      </c>
    </row>
    <row r="33" spans="1:20" ht="15.75" x14ac:dyDescent="0.25">
      <c r="A33" s="11">
        <f>[1]Лист4!A9</f>
        <v>1</v>
      </c>
      <c r="B33" s="12" t="str">
        <f>[1]Лист4!C9</f>
        <v>AKM13 Роза дэвид аустин Пьюрити 50</v>
      </c>
      <c r="C33" s="13">
        <f>[1]Лист4!D9</f>
        <v>72</v>
      </c>
      <c r="D33" s="14">
        <f>[1]Лист4!F9</f>
        <v>2.5499999999999998</v>
      </c>
      <c r="E33" s="15">
        <f t="shared" si="0"/>
        <v>183.6</v>
      </c>
      <c r="F33" s="15">
        <f t="shared" si="1"/>
        <v>0.21062999999999998</v>
      </c>
      <c r="G33" s="16">
        <f t="shared" si="2"/>
        <v>4.57</v>
      </c>
      <c r="H33" s="16">
        <f t="shared" si="3"/>
        <v>13.549999999999999</v>
      </c>
      <c r="I33" s="16">
        <f t="shared" si="4"/>
        <v>15.629999999999999</v>
      </c>
      <c r="J33" s="16">
        <f t="shared" si="5"/>
        <v>13.42</v>
      </c>
      <c r="K33" s="16">
        <f t="shared" si="6"/>
        <v>0</v>
      </c>
      <c r="L33" s="17"/>
      <c r="M33" s="16">
        <f t="shared" si="7"/>
        <v>0</v>
      </c>
      <c r="N33" s="17">
        <f t="shared" si="8"/>
        <v>0</v>
      </c>
      <c r="O33" s="17">
        <f t="shared" si="9"/>
        <v>0</v>
      </c>
      <c r="P33" s="18">
        <f t="shared" si="10"/>
        <v>329.04</v>
      </c>
      <c r="Q33" s="19">
        <f t="shared" si="11"/>
        <v>0</v>
      </c>
      <c r="R33" s="19">
        <f t="shared" si="12"/>
        <v>-329.04</v>
      </c>
      <c r="S33" s="20"/>
      <c r="T33" s="21" t="s">
        <v>42</v>
      </c>
    </row>
    <row r="34" spans="1:20" ht="15.75" x14ac:dyDescent="0.25">
      <c r="A34" s="11">
        <f>[1]Лист4!A4</f>
        <v>1</v>
      </c>
      <c r="B34" s="12" t="str">
        <f>[1]Лист4!C4</f>
        <v>AKM13 Роза Квиксэнд NL 50</v>
      </c>
      <c r="C34" s="13">
        <f>[1]Лист4!D4</f>
        <v>100</v>
      </c>
      <c r="D34" s="14">
        <f>[1]Лист4!F4</f>
        <v>0.99</v>
      </c>
      <c r="E34" s="15">
        <f t="shared" si="0"/>
        <v>99</v>
      </c>
      <c r="F34" s="15">
        <f t="shared" si="1"/>
        <v>8.1773999999999999E-2</v>
      </c>
      <c r="G34" s="16">
        <f t="shared" si="2"/>
        <v>1.88</v>
      </c>
      <c r="H34" s="16">
        <f t="shared" si="3"/>
        <v>5.58</v>
      </c>
      <c r="I34" s="16">
        <f t="shared" si="4"/>
        <v>6.43</v>
      </c>
      <c r="J34" s="16">
        <f t="shared" si="5"/>
        <v>5.52</v>
      </c>
      <c r="K34" s="16">
        <f t="shared" si="6"/>
        <v>0</v>
      </c>
      <c r="L34" s="17"/>
      <c r="M34" s="16">
        <f t="shared" si="7"/>
        <v>0</v>
      </c>
      <c r="N34" s="17">
        <f t="shared" si="8"/>
        <v>0</v>
      </c>
      <c r="O34" s="17">
        <f t="shared" si="9"/>
        <v>0</v>
      </c>
      <c r="P34" s="18">
        <f t="shared" si="10"/>
        <v>188</v>
      </c>
      <c r="Q34" s="19">
        <f t="shared" si="11"/>
        <v>0</v>
      </c>
      <c r="R34" s="19">
        <f t="shared" si="12"/>
        <v>-188</v>
      </c>
      <c r="S34" s="20"/>
      <c r="T34" s="21" t="s">
        <v>43</v>
      </c>
    </row>
    <row r="35" spans="1:20" ht="15.75" x14ac:dyDescent="0.25">
      <c r="A35" s="11">
        <f>[1]Лист4!A20</f>
        <v>1</v>
      </c>
      <c r="B35" s="12" t="str">
        <f>[1]Лист4!C20</f>
        <v>AKM13 Роза Роял романс 70</v>
      </c>
      <c r="C35" s="13">
        <f>[1]Лист4!D20</f>
        <v>20</v>
      </c>
      <c r="D35" s="14">
        <f>[1]Лист4!F20</f>
        <v>1.58</v>
      </c>
      <c r="E35" s="15">
        <f t="shared" si="0"/>
        <v>31.6</v>
      </c>
      <c r="F35" s="15">
        <f t="shared" si="1"/>
        <v>0.13050800000000001</v>
      </c>
      <c r="G35" s="16">
        <f t="shared" si="2"/>
        <v>2.9</v>
      </c>
      <c r="H35" s="16">
        <f t="shared" si="3"/>
        <v>8.6</v>
      </c>
      <c r="I35" s="16">
        <f t="shared" si="4"/>
        <v>9.92</v>
      </c>
      <c r="J35" s="16">
        <f t="shared" si="5"/>
        <v>8.52</v>
      </c>
      <c r="K35" s="16">
        <f t="shared" si="6"/>
        <v>0</v>
      </c>
      <c r="L35" s="17"/>
      <c r="M35" s="16">
        <f t="shared" si="7"/>
        <v>0</v>
      </c>
      <c r="N35" s="17">
        <f t="shared" si="8"/>
        <v>0</v>
      </c>
      <c r="O35" s="17">
        <f t="shared" si="9"/>
        <v>0</v>
      </c>
      <c r="P35" s="18">
        <f t="shared" si="10"/>
        <v>58</v>
      </c>
      <c r="Q35" s="19">
        <f t="shared" si="11"/>
        <v>0</v>
      </c>
      <c r="R35" s="19">
        <f t="shared" si="12"/>
        <v>-58</v>
      </c>
      <c r="S35" s="20"/>
      <c r="T35" s="21" t="s">
        <v>44</v>
      </c>
    </row>
    <row r="36" spans="1:20" ht="15.75" x14ac:dyDescent="0.25">
      <c r="A36" s="11">
        <f>[1]Лист4!A154</f>
        <v>8</v>
      </c>
      <c r="B36" s="12" t="str">
        <f>[1]Лист4!C154</f>
        <v>AKM13 Статица белая</v>
      </c>
      <c r="C36" s="13">
        <f>[1]Лист4!D154</f>
        <v>25</v>
      </c>
      <c r="D36" s="14">
        <f>[1]Лист4!F154</f>
        <v>0.37</v>
      </c>
      <c r="E36" s="15">
        <f t="shared" si="0"/>
        <v>9.25</v>
      </c>
      <c r="F36" s="15">
        <f t="shared" si="1"/>
        <v>3.0562000000000002E-2</v>
      </c>
      <c r="G36" s="16">
        <f t="shared" si="2"/>
        <v>0.81</v>
      </c>
      <c r="H36" s="16">
        <f t="shared" si="3"/>
        <v>2.4099999999999997</v>
      </c>
      <c r="I36" s="16">
        <f t="shared" si="4"/>
        <v>2.78</v>
      </c>
      <c r="J36" s="16">
        <f t="shared" si="5"/>
        <v>2.38</v>
      </c>
      <c r="K36" s="16">
        <f t="shared" si="6"/>
        <v>0</v>
      </c>
      <c r="L36" s="17"/>
      <c r="M36" s="16">
        <f t="shared" si="7"/>
        <v>0</v>
      </c>
      <c r="N36" s="17">
        <f t="shared" si="8"/>
        <v>0</v>
      </c>
      <c r="O36" s="17">
        <f t="shared" si="9"/>
        <v>0</v>
      </c>
      <c r="P36" s="18">
        <f t="shared" si="10"/>
        <v>20.25</v>
      </c>
      <c r="Q36" s="19">
        <f t="shared" si="11"/>
        <v>0</v>
      </c>
      <c r="R36" s="19">
        <f t="shared" si="12"/>
        <v>-20.25</v>
      </c>
      <c r="S36" s="20"/>
      <c r="T36" s="21" t="s">
        <v>45</v>
      </c>
    </row>
    <row r="37" spans="1:20" ht="15.75" x14ac:dyDescent="0.25">
      <c r="A37" s="11">
        <f>[1]Лист4!A152</f>
        <v>8</v>
      </c>
      <c r="B37" s="12" t="str">
        <f>[1]Лист4!C152</f>
        <v>AKM13 Статица синяя</v>
      </c>
      <c r="C37" s="13">
        <f>[1]Лист4!D152</f>
        <v>25</v>
      </c>
      <c r="D37" s="14">
        <f>[1]Лист4!F152</f>
        <v>0.33</v>
      </c>
      <c r="E37" s="15">
        <f t="shared" si="0"/>
        <v>8.25</v>
      </c>
      <c r="F37" s="15">
        <f t="shared" si="1"/>
        <v>2.7258000000000004E-2</v>
      </c>
      <c r="G37" s="16">
        <f t="shared" si="2"/>
        <v>0.74</v>
      </c>
      <c r="H37" s="16">
        <f t="shared" si="3"/>
        <v>2.1999999999999997</v>
      </c>
      <c r="I37" s="16">
        <f t="shared" si="4"/>
        <v>2.5399999999999996</v>
      </c>
      <c r="J37" s="16">
        <f t="shared" si="5"/>
        <v>2.1799999999999997</v>
      </c>
      <c r="K37" s="16">
        <f t="shared" si="6"/>
        <v>0</v>
      </c>
      <c r="L37" s="17"/>
      <c r="M37" s="16">
        <f t="shared" si="7"/>
        <v>0</v>
      </c>
      <c r="N37" s="17">
        <f t="shared" si="8"/>
        <v>0</v>
      </c>
      <c r="O37" s="17">
        <f t="shared" si="9"/>
        <v>0</v>
      </c>
      <c r="P37" s="18">
        <f t="shared" si="10"/>
        <v>18.5</v>
      </c>
      <c r="Q37" s="19">
        <f t="shared" si="11"/>
        <v>0</v>
      </c>
      <c r="R37" s="19">
        <f t="shared" si="12"/>
        <v>-18.5</v>
      </c>
      <c r="S37" s="20"/>
      <c r="T37" s="21" t="s">
        <v>46</v>
      </c>
    </row>
    <row r="38" spans="1:20" ht="15.75" x14ac:dyDescent="0.25">
      <c r="A38" s="11">
        <f>[1]Лист4!A155</f>
        <v>8</v>
      </c>
      <c r="B38" s="12" t="str">
        <f>[1]Лист4!C155</f>
        <v>AKM13 Статица сиреневая</v>
      </c>
      <c r="C38" s="13">
        <f>[1]Лист4!D155</f>
        <v>25</v>
      </c>
      <c r="D38" s="14">
        <f>[1]Лист4!F155</f>
        <v>0.32</v>
      </c>
      <c r="E38" s="15">
        <f t="shared" si="0"/>
        <v>8</v>
      </c>
      <c r="F38" s="15">
        <f t="shared" si="1"/>
        <v>2.6432000000000001E-2</v>
      </c>
      <c r="G38" s="16">
        <f t="shared" si="2"/>
        <v>0.72</v>
      </c>
      <c r="H38" s="16">
        <f t="shared" si="3"/>
        <v>2.1399999999999997</v>
      </c>
      <c r="I38" s="16">
        <f t="shared" si="4"/>
        <v>2.4699999999999998</v>
      </c>
      <c r="J38" s="16">
        <f t="shared" si="5"/>
        <v>2.1199999999999997</v>
      </c>
      <c r="K38" s="16">
        <f t="shared" si="6"/>
        <v>0</v>
      </c>
      <c r="L38" s="17"/>
      <c r="M38" s="16">
        <f t="shared" si="7"/>
        <v>0</v>
      </c>
      <c r="N38" s="17">
        <f t="shared" si="8"/>
        <v>0</v>
      </c>
      <c r="O38" s="17">
        <f t="shared" si="9"/>
        <v>0</v>
      </c>
      <c r="P38" s="18">
        <f t="shared" si="10"/>
        <v>18</v>
      </c>
      <c r="Q38" s="19">
        <f t="shared" si="11"/>
        <v>0</v>
      </c>
      <c r="R38" s="19">
        <f t="shared" si="12"/>
        <v>-18</v>
      </c>
      <c r="S38" s="20"/>
      <c r="T38" s="21" t="s">
        <v>47</v>
      </c>
    </row>
    <row r="39" spans="1:20" ht="15.75" x14ac:dyDescent="0.25">
      <c r="A39" s="11">
        <f>[1]Лист4!A28</f>
        <v>2</v>
      </c>
      <c r="B39" s="12" t="str">
        <f>[1]Лист4!C28</f>
        <v>AKM13 Хризантема 1 Магнум</v>
      </c>
      <c r="C39" s="13">
        <f>[1]Лист4!D28</f>
        <v>120</v>
      </c>
      <c r="D39" s="14">
        <f>[1]Лист4!F28</f>
        <v>0.46</v>
      </c>
      <c r="E39" s="15">
        <f t="shared" si="0"/>
        <v>55.2</v>
      </c>
      <c r="F39" s="15">
        <f t="shared" si="1"/>
        <v>3.7996000000000002E-2</v>
      </c>
      <c r="G39" s="16">
        <f t="shared" si="2"/>
        <v>0.96</v>
      </c>
      <c r="H39" s="16">
        <f t="shared" si="3"/>
        <v>2.8499999999999996</v>
      </c>
      <c r="I39" s="16">
        <f t="shared" si="4"/>
        <v>3.2899999999999996</v>
      </c>
      <c r="J39" s="16">
        <f t="shared" si="5"/>
        <v>2.82</v>
      </c>
      <c r="K39" s="16">
        <f t="shared" si="6"/>
        <v>0</v>
      </c>
      <c r="L39" s="17"/>
      <c r="M39" s="16">
        <f t="shared" si="7"/>
        <v>0</v>
      </c>
      <c r="N39" s="17">
        <f t="shared" si="8"/>
        <v>0</v>
      </c>
      <c r="O39" s="17">
        <f t="shared" si="9"/>
        <v>0</v>
      </c>
      <c r="P39" s="18">
        <f t="shared" si="10"/>
        <v>115.19999999999999</v>
      </c>
      <c r="Q39" s="19">
        <f t="shared" si="11"/>
        <v>0</v>
      </c>
      <c r="R39" s="19">
        <f t="shared" si="12"/>
        <v>-115.19999999999999</v>
      </c>
      <c r="S39" s="20"/>
      <c r="T39" s="21" t="s">
        <v>48</v>
      </c>
    </row>
    <row r="40" spans="1:20" ht="15.75" x14ac:dyDescent="0.25">
      <c r="A40" s="11">
        <f>[1]Лист4!A30</f>
        <v>2</v>
      </c>
      <c r="B40" s="12" t="str">
        <f>[1]Лист4!C30</f>
        <v>AKM13 Хризантема 1 Маракуя</v>
      </c>
      <c r="C40" s="13">
        <f>[1]Лист4!D30</f>
        <v>60</v>
      </c>
      <c r="D40" s="14">
        <f>[1]Лист4!F30</f>
        <v>0.48</v>
      </c>
      <c r="E40" s="15">
        <f t="shared" si="0"/>
        <v>28.799999999999997</v>
      </c>
      <c r="F40" s="15">
        <f t="shared" si="1"/>
        <v>3.9647999999999996E-2</v>
      </c>
      <c r="G40" s="16">
        <f t="shared" si="2"/>
        <v>1</v>
      </c>
      <c r="H40" s="16">
        <f t="shared" si="3"/>
        <v>2.9699999999999998</v>
      </c>
      <c r="I40" s="16">
        <f t="shared" si="4"/>
        <v>3.42</v>
      </c>
      <c r="J40" s="16">
        <f t="shared" si="5"/>
        <v>2.94</v>
      </c>
      <c r="K40" s="16">
        <f t="shared" si="6"/>
        <v>0</v>
      </c>
      <c r="L40" s="17"/>
      <c r="M40" s="16">
        <f t="shared" si="7"/>
        <v>0</v>
      </c>
      <c r="N40" s="17">
        <f t="shared" si="8"/>
        <v>0</v>
      </c>
      <c r="O40" s="17">
        <f t="shared" si="9"/>
        <v>0</v>
      </c>
      <c r="P40" s="18">
        <f t="shared" si="10"/>
        <v>60</v>
      </c>
      <c r="Q40" s="19">
        <f t="shared" si="11"/>
        <v>0</v>
      </c>
      <c r="R40" s="19">
        <f t="shared" si="12"/>
        <v>-60</v>
      </c>
      <c r="S40" s="20"/>
      <c r="T40" s="21" t="s">
        <v>49</v>
      </c>
    </row>
    <row r="41" spans="1:20" ht="15.75" x14ac:dyDescent="0.25">
      <c r="A41" s="11">
        <f>[1]Лист4!A34</f>
        <v>2</v>
      </c>
      <c r="B41" s="12" t="str">
        <f>[1]Лист4!C34</f>
        <v>AKM13 Хризантема 1 СуперБол</v>
      </c>
      <c r="C41" s="13">
        <f>[1]Лист4!D34</f>
        <v>40</v>
      </c>
      <c r="D41" s="14">
        <f>[1]Лист4!F34</f>
        <v>0.94</v>
      </c>
      <c r="E41" s="15">
        <f t="shared" si="0"/>
        <v>37.599999999999994</v>
      </c>
      <c r="F41" s="15">
        <f t="shared" si="1"/>
        <v>7.7644000000000005E-2</v>
      </c>
      <c r="G41" s="16">
        <f t="shared" si="2"/>
        <v>1.79</v>
      </c>
      <c r="H41" s="16">
        <f t="shared" si="3"/>
        <v>5.31</v>
      </c>
      <c r="I41" s="16">
        <f t="shared" si="4"/>
        <v>6.13</v>
      </c>
      <c r="J41" s="16">
        <f t="shared" si="5"/>
        <v>5.26</v>
      </c>
      <c r="K41" s="16">
        <f t="shared" si="6"/>
        <v>0</v>
      </c>
      <c r="L41" s="17"/>
      <c r="M41" s="16">
        <f t="shared" si="7"/>
        <v>0</v>
      </c>
      <c r="N41" s="17">
        <f t="shared" si="8"/>
        <v>0</v>
      </c>
      <c r="O41" s="17">
        <f t="shared" si="9"/>
        <v>0</v>
      </c>
      <c r="P41" s="18">
        <f t="shared" si="10"/>
        <v>71.599999999999994</v>
      </c>
      <c r="Q41" s="19">
        <f t="shared" si="11"/>
        <v>0</v>
      </c>
      <c r="R41" s="19">
        <f t="shared" si="12"/>
        <v>-71.599999999999994</v>
      </c>
      <c r="S41" s="20"/>
      <c r="T41" s="21" t="s">
        <v>50</v>
      </c>
    </row>
    <row r="42" spans="1:20" ht="15.75" x14ac:dyDescent="0.25">
      <c r="A42" s="11">
        <f>[1]Лист4!A26</f>
        <v>2</v>
      </c>
      <c r="B42" s="12" t="str">
        <f>[1]Лист4!C26</f>
        <v>AKM13 Хризантема 1 Ханимун</v>
      </c>
      <c r="C42" s="13">
        <f>[1]Лист4!D26</f>
        <v>180</v>
      </c>
      <c r="D42" s="14">
        <f>[1]Лист4!F26</f>
        <v>0.48</v>
      </c>
      <c r="E42" s="15">
        <f t="shared" si="0"/>
        <v>86.399999999999991</v>
      </c>
      <c r="F42" s="15">
        <f t="shared" si="1"/>
        <v>3.9647999999999996E-2</v>
      </c>
      <c r="G42" s="16">
        <f t="shared" si="2"/>
        <v>1</v>
      </c>
      <c r="H42" s="16">
        <f t="shared" si="3"/>
        <v>2.9699999999999998</v>
      </c>
      <c r="I42" s="16">
        <f t="shared" si="4"/>
        <v>3.42</v>
      </c>
      <c r="J42" s="16">
        <f t="shared" si="5"/>
        <v>2.94</v>
      </c>
      <c r="K42" s="16">
        <f t="shared" si="6"/>
        <v>0</v>
      </c>
      <c r="L42" s="17"/>
      <c r="M42" s="16">
        <f t="shared" si="7"/>
        <v>0</v>
      </c>
      <c r="N42" s="17">
        <f t="shared" si="8"/>
        <v>0</v>
      </c>
      <c r="O42" s="17">
        <f t="shared" si="9"/>
        <v>0</v>
      </c>
      <c r="P42" s="18">
        <f t="shared" si="10"/>
        <v>180</v>
      </c>
      <c r="Q42" s="19">
        <f t="shared" si="11"/>
        <v>0</v>
      </c>
      <c r="R42" s="19">
        <f t="shared" si="12"/>
        <v>-180</v>
      </c>
      <c r="S42" s="20"/>
      <c r="T42" s="21" t="s">
        <v>51</v>
      </c>
    </row>
    <row r="43" spans="1:20" ht="15.75" x14ac:dyDescent="0.25">
      <c r="A43" s="11">
        <f>[1]Лист4!A101</f>
        <v>8</v>
      </c>
      <c r="B43" s="12" t="str">
        <f>[1]Лист4!C101</f>
        <v>AKM13 Эрингиум Магнетар</v>
      </c>
      <c r="C43" s="13">
        <f>[1]Лист4!D101</f>
        <v>60</v>
      </c>
      <c r="D43" s="14">
        <f>[1]Лист4!F101</f>
        <v>0.32</v>
      </c>
      <c r="E43" s="15">
        <f t="shared" si="0"/>
        <v>19.2</v>
      </c>
      <c r="F43" s="15">
        <f t="shared" si="1"/>
        <v>2.6432000000000001E-2</v>
      </c>
      <c r="G43" s="16">
        <f t="shared" si="2"/>
        <v>0.72</v>
      </c>
      <c r="H43" s="16">
        <f t="shared" si="3"/>
        <v>2.1399999999999997</v>
      </c>
      <c r="I43" s="16">
        <f t="shared" si="4"/>
        <v>2.4699999999999998</v>
      </c>
      <c r="J43" s="16">
        <f t="shared" si="5"/>
        <v>2.1199999999999997</v>
      </c>
      <c r="K43" s="16">
        <f t="shared" si="6"/>
        <v>0</v>
      </c>
      <c r="L43" s="17"/>
      <c r="M43" s="16">
        <f t="shared" si="7"/>
        <v>0</v>
      </c>
      <c r="N43" s="17">
        <f t="shared" si="8"/>
        <v>0</v>
      </c>
      <c r="O43" s="17">
        <f t="shared" si="9"/>
        <v>0</v>
      </c>
      <c r="P43" s="18">
        <f t="shared" si="10"/>
        <v>43.199999999999996</v>
      </c>
      <c r="Q43" s="19">
        <f t="shared" si="11"/>
        <v>0</v>
      </c>
      <c r="R43" s="19">
        <f t="shared" si="12"/>
        <v>-43.199999999999996</v>
      </c>
      <c r="S43" s="20"/>
      <c r="T43" s="21" t="s">
        <v>52</v>
      </c>
    </row>
    <row r="44" spans="1:20" ht="15.75" x14ac:dyDescent="0.25">
      <c r="A44" s="11">
        <f>[1]Лист4!A288</f>
        <v>8</v>
      </c>
      <c r="B44" s="12" t="str">
        <f>[1]Лист4!C288</f>
        <v>FGGD01 Вероника микс</v>
      </c>
      <c r="C44" s="13">
        <f>[1]Лист4!D288</f>
        <v>150</v>
      </c>
      <c r="D44" s="14">
        <f>[1]Лист4!F288</f>
        <v>0.38</v>
      </c>
      <c r="E44" s="15">
        <f t="shared" si="0"/>
        <v>57</v>
      </c>
      <c r="F44" s="15">
        <f t="shared" si="1"/>
        <v>3.1387999999999999E-2</v>
      </c>
      <c r="G44" s="16">
        <f t="shared" si="2"/>
        <v>0.82</v>
      </c>
      <c r="H44" s="16">
        <f t="shared" si="3"/>
        <v>2.44</v>
      </c>
      <c r="I44" s="16">
        <f t="shared" si="4"/>
        <v>2.8099999999999996</v>
      </c>
      <c r="J44" s="16">
        <f t="shared" si="5"/>
        <v>2.4099999999999997</v>
      </c>
      <c r="K44" s="16">
        <f t="shared" si="6"/>
        <v>0</v>
      </c>
      <c r="L44" s="17"/>
      <c r="M44" s="16">
        <f t="shared" si="7"/>
        <v>0</v>
      </c>
      <c r="N44" s="17">
        <f t="shared" si="8"/>
        <v>0</v>
      </c>
      <c r="O44" s="17">
        <f t="shared" si="9"/>
        <v>0</v>
      </c>
      <c r="P44" s="18">
        <f t="shared" si="10"/>
        <v>122.99999999999999</v>
      </c>
      <c r="Q44" s="19">
        <f t="shared" si="11"/>
        <v>0</v>
      </c>
      <c r="R44" s="19">
        <f t="shared" si="12"/>
        <v>-122.99999999999999</v>
      </c>
      <c r="S44" s="20"/>
      <c r="T44" s="22" t="s">
        <v>53</v>
      </c>
    </row>
    <row r="45" spans="1:20" ht="15.75" x14ac:dyDescent="0.25">
      <c r="A45" s="11">
        <f>[1]Лист4!A200</f>
        <v>1</v>
      </c>
      <c r="B45" s="12" t="str">
        <f>[1]Лист4!C200</f>
        <v>FGGD01 Роза ветвистая Бала 50</v>
      </c>
      <c r="C45" s="13">
        <f>[1]Лист4!D200</f>
        <v>20</v>
      </c>
      <c r="D45" s="14">
        <f>[1]Лист4!F200</f>
        <v>0.95</v>
      </c>
      <c r="E45" s="15">
        <f t="shared" si="0"/>
        <v>19</v>
      </c>
      <c r="F45" s="15">
        <f t="shared" si="1"/>
        <v>7.8470000000000012E-2</v>
      </c>
      <c r="G45" s="16">
        <f t="shared" si="2"/>
        <v>1.81</v>
      </c>
      <c r="H45" s="16">
        <f t="shared" si="3"/>
        <v>5.37</v>
      </c>
      <c r="I45" s="16">
        <f t="shared" si="4"/>
        <v>6.2</v>
      </c>
      <c r="J45" s="16">
        <f t="shared" si="5"/>
        <v>5.3199999999999994</v>
      </c>
      <c r="K45" s="16">
        <f t="shared" si="6"/>
        <v>0</v>
      </c>
      <c r="L45" s="17"/>
      <c r="M45" s="16">
        <f t="shared" si="7"/>
        <v>0</v>
      </c>
      <c r="N45" s="17">
        <f t="shared" si="8"/>
        <v>0</v>
      </c>
      <c r="O45" s="17">
        <f t="shared" si="9"/>
        <v>0</v>
      </c>
      <c r="P45" s="18">
        <f t="shared" si="10"/>
        <v>36.200000000000003</v>
      </c>
      <c r="Q45" s="19">
        <f t="shared" si="11"/>
        <v>0</v>
      </c>
      <c r="R45" s="19">
        <f t="shared" si="12"/>
        <v>-36.200000000000003</v>
      </c>
      <c r="S45" s="20"/>
      <c r="T45" s="22" t="s">
        <v>54</v>
      </c>
    </row>
    <row r="46" spans="1:20" ht="15.75" x14ac:dyDescent="0.25">
      <c r="A46" s="11">
        <f>[1]Лист4!A205</f>
        <v>1</v>
      </c>
      <c r="B46" s="12" t="str">
        <f>[1]Лист4!C205</f>
        <v>FGGD01 Роза ветвистая Белла Трендсетер NL 60</v>
      </c>
      <c r="C46" s="13">
        <f>[1]Лист4!D205</f>
        <v>20</v>
      </c>
      <c r="D46" s="14">
        <f>[1]Лист4!F205</f>
        <v>2.02</v>
      </c>
      <c r="E46" s="15">
        <f t="shared" si="0"/>
        <v>40.4</v>
      </c>
      <c r="F46" s="15">
        <f t="shared" si="1"/>
        <v>0.166852</v>
      </c>
      <c r="G46" s="16">
        <f t="shared" si="2"/>
        <v>3.66</v>
      </c>
      <c r="H46" s="16">
        <f t="shared" si="3"/>
        <v>10.85</v>
      </c>
      <c r="I46" s="16">
        <f t="shared" si="4"/>
        <v>12.52</v>
      </c>
      <c r="J46" s="16">
        <f t="shared" si="5"/>
        <v>10.75</v>
      </c>
      <c r="K46" s="16">
        <f t="shared" si="6"/>
        <v>0</v>
      </c>
      <c r="L46" s="17"/>
      <c r="M46" s="16">
        <f t="shared" si="7"/>
        <v>0</v>
      </c>
      <c r="N46" s="17">
        <f t="shared" si="8"/>
        <v>0</v>
      </c>
      <c r="O46" s="17">
        <f t="shared" si="9"/>
        <v>0</v>
      </c>
      <c r="P46" s="18">
        <f t="shared" si="10"/>
        <v>73.2</v>
      </c>
      <c r="Q46" s="19">
        <f t="shared" si="11"/>
        <v>0</v>
      </c>
      <c r="R46" s="19">
        <f t="shared" si="12"/>
        <v>-73.2</v>
      </c>
      <c r="S46" s="20"/>
      <c r="T46" s="22" t="s">
        <v>55</v>
      </c>
    </row>
    <row r="47" spans="1:20" ht="15.75" x14ac:dyDescent="0.25">
      <c r="A47" s="11">
        <f>[1]Лист4!A206</f>
        <v>1</v>
      </c>
      <c r="B47" s="12" t="str">
        <f>[1]Лист4!C206</f>
        <v>FGGD01 Роза ветвистая Бёрдс Нэтс 60</v>
      </c>
      <c r="C47" s="13">
        <f>[1]Лист4!D206</f>
        <v>50</v>
      </c>
      <c r="D47" s="14">
        <f>[1]Лист4!F206</f>
        <v>1.51</v>
      </c>
      <c r="E47" s="15">
        <f t="shared" si="0"/>
        <v>75.5</v>
      </c>
      <c r="F47" s="15">
        <f t="shared" si="1"/>
        <v>0.124726</v>
      </c>
      <c r="G47" s="16">
        <f t="shared" si="2"/>
        <v>2.78</v>
      </c>
      <c r="H47" s="16">
        <f t="shared" si="3"/>
        <v>8.24</v>
      </c>
      <c r="I47" s="16">
        <f t="shared" si="4"/>
        <v>9.51</v>
      </c>
      <c r="J47" s="16">
        <f t="shared" si="5"/>
        <v>8.17</v>
      </c>
      <c r="K47" s="16">
        <f t="shared" si="6"/>
        <v>0</v>
      </c>
      <c r="L47" s="17"/>
      <c r="M47" s="16">
        <f t="shared" si="7"/>
        <v>0</v>
      </c>
      <c r="N47" s="17">
        <f t="shared" si="8"/>
        <v>0</v>
      </c>
      <c r="O47" s="17">
        <f t="shared" si="9"/>
        <v>0</v>
      </c>
      <c r="P47" s="18">
        <f t="shared" si="10"/>
        <v>139</v>
      </c>
      <c r="Q47" s="19">
        <f t="shared" si="11"/>
        <v>0</v>
      </c>
      <c r="R47" s="19">
        <f t="shared" si="12"/>
        <v>-139</v>
      </c>
      <c r="S47" s="20"/>
      <c r="T47" s="22" t="s">
        <v>56</v>
      </c>
    </row>
    <row r="48" spans="1:20" ht="15.75" x14ac:dyDescent="0.25">
      <c r="A48" s="11">
        <f>[1]Лист4!A207</f>
        <v>1</v>
      </c>
      <c r="B48" s="12" t="str">
        <f>[1]Лист4!C207</f>
        <v>FGGD01 Роза ветвистая Ферст Дейт NL 60</v>
      </c>
      <c r="C48" s="13">
        <f>[1]Лист4!D207</f>
        <v>30</v>
      </c>
      <c r="D48" s="14">
        <f>[1]Лист4!F207</f>
        <v>1.46</v>
      </c>
      <c r="E48" s="15">
        <f t="shared" si="0"/>
        <v>43.8</v>
      </c>
      <c r="F48" s="15">
        <f t="shared" si="1"/>
        <v>0.12059600000000001</v>
      </c>
      <c r="G48" s="16">
        <f t="shared" si="2"/>
        <v>2.69</v>
      </c>
      <c r="H48" s="16">
        <f t="shared" si="3"/>
        <v>7.9799999999999995</v>
      </c>
      <c r="I48" s="16">
        <f t="shared" si="4"/>
        <v>9.1999999999999993</v>
      </c>
      <c r="J48" s="16">
        <f t="shared" si="5"/>
        <v>7.8999999999999995</v>
      </c>
      <c r="K48" s="16">
        <f t="shared" si="6"/>
        <v>0</v>
      </c>
      <c r="L48" s="17"/>
      <c r="M48" s="16">
        <f t="shared" si="7"/>
        <v>0</v>
      </c>
      <c r="N48" s="17">
        <f t="shared" si="8"/>
        <v>0</v>
      </c>
      <c r="O48" s="17">
        <f t="shared" si="9"/>
        <v>0</v>
      </c>
      <c r="P48" s="18">
        <f t="shared" si="10"/>
        <v>80.7</v>
      </c>
      <c r="Q48" s="19">
        <f t="shared" si="11"/>
        <v>0</v>
      </c>
      <c r="R48" s="19">
        <f t="shared" si="12"/>
        <v>-80.7</v>
      </c>
      <c r="S48" s="20"/>
      <c r="T48" s="22" t="s">
        <v>57</v>
      </c>
    </row>
    <row r="49" spans="1:20" ht="15.75" x14ac:dyDescent="0.25">
      <c r="A49" s="11">
        <f>[1]Лист4!A209</f>
        <v>1</v>
      </c>
      <c r="B49" s="12" t="str">
        <f>[1]Лист4!C209</f>
        <v>FGGD01 Роза ветвистая Ферст Дейт NL 70</v>
      </c>
      <c r="C49" s="13">
        <f>[1]Лист4!D209</f>
        <v>50</v>
      </c>
      <c r="D49" s="14">
        <f>[1]Лист4!F209</f>
        <v>1.87</v>
      </c>
      <c r="E49" s="15">
        <f t="shared" si="0"/>
        <v>93.5</v>
      </c>
      <c r="F49" s="15">
        <f t="shared" si="1"/>
        <v>0.15446200000000002</v>
      </c>
      <c r="G49" s="16">
        <f t="shared" si="2"/>
        <v>3.4</v>
      </c>
      <c r="H49" s="16">
        <f t="shared" si="3"/>
        <v>10.08</v>
      </c>
      <c r="I49" s="16">
        <f t="shared" si="4"/>
        <v>11.629999999999999</v>
      </c>
      <c r="J49" s="16">
        <f t="shared" si="5"/>
        <v>9.99</v>
      </c>
      <c r="K49" s="16">
        <f t="shared" si="6"/>
        <v>0</v>
      </c>
      <c r="L49" s="17"/>
      <c r="M49" s="16">
        <f t="shared" si="7"/>
        <v>0</v>
      </c>
      <c r="N49" s="17">
        <f t="shared" si="8"/>
        <v>0</v>
      </c>
      <c r="O49" s="17">
        <f t="shared" si="9"/>
        <v>0</v>
      </c>
      <c r="P49" s="18">
        <f t="shared" si="10"/>
        <v>170</v>
      </c>
      <c r="Q49" s="19">
        <f t="shared" si="11"/>
        <v>0</v>
      </c>
      <c r="R49" s="19">
        <f t="shared" si="12"/>
        <v>-170</v>
      </c>
      <c r="S49" s="20"/>
      <c r="T49" s="22" t="s">
        <v>57</v>
      </c>
    </row>
    <row r="50" spans="1:20" ht="15.75" x14ac:dyDescent="0.25">
      <c r="A50" s="11">
        <f>[1]Лист4!A260</f>
        <v>8</v>
      </c>
      <c r="B50" s="12" t="str">
        <f>[1]Лист4!C260</f>
        <v>FGGD01 Статица априкот</v>
      </c>
      <c r="C50" s="13">
        <f>[1]Лист4!D260</f>
        <v>25</v>
      </c>
      <c r="D50" s="14">
        <f>[1]Лист4!F260</f>
        <v>0.89</v>
      </c>
      <c r="E50" s="15">
        <f t="shared" si="0"/>
        <v>22.25</v>
      </c>
      <c r="F50" s="15">
        <f t="shared" si="1"/>
        <v>7.351400000000001E-2</v>
      </c>
      <c r="G50" s="16">
        <f t="shared" si="2"/>
        <v>1.71</v>
      </c>
      <c r="H50" s="16">
        <f t="shared" si="3"/>
        <v>5.0699999999999994</v>
      </c>
      <c r="I50" s="16">
        <f t="shared" si="4"/>
        <v>5.85</v>
      </c>
      <c r="J50" s="16">
        <f t="shared" si="5"/>
        <v>5.0199999999999996</v>
      </c>
      <c r="K50" s="16">
        <f t="shared" si="6"/>
        <v>0</v>
      </c>
      <c r="L50" s="17"/>
      <c r="M50" s="16">
        <f t="shared" si="7"/>
        <v>0</v>
      </c>
      <c r="N50" s="17">
        <f t="shared" si="8"/>
        <v>0</v>
      </c>
      <c r="O50" s="17">
        <f t="shared" si="9"/>
        <v>0</v>
      </c>
      <c r="P50" s="18">
        <f t="shared" si="10"/>
        <v>42.75</v>
      </c>
      <c r="Q50" s="19">
        <f t="shared" si="11"/>
        <v>0</v>
      </c>
      <c r="R50" s="19">
        <f t="shared" si="12"/>
        <v>-42.75</v>
      </c>
      <c r="S50" s="20"/>
      <c r="T50" s="22" t="s">
        <v>58</v>
      </c>
    </row>
    <row r="51" spans="1:20" ht="15.75" x14ac:dyDescent="0.25">
      <c r="A51" s="11">
        <f>[1]Лист4!A261</f>
        <v>8</v>
      </c>
      <c r="B51" s="12" t="str">
        <f>[1]Лист4!C261</f>
        <v>FGGD01 Статица пич</v>
      </c>
      <c r="C51" s="13">
        <f>[1]Лист4!D261</f>
        <v>25</v>
      </c>
      <c r="D51" s="14">
        <f>[1]Лист4!F261</f>
        <v>1.07</v>
      </c>
      <c r="E51" s="15">
        <f t="shared" si="0"/>
        <v>26.75</v>
      </c>
      <c r="F51" s="15">
        <f t="shared" si="1"/>
        <v>8.8382000000000002E-2</v>
      </c>
      <c r="G51" s="16">
        <f t="shared" si="2"/>
        <v>2.02</v>
      </c>
      <c r="H51" s="16">
        <f t="shared" si="3"/>
        <v>5.99</v>
      </c>
      <c r="I51" s="16">
        <f t="shared" si="4"/>
        <v>6.91</v>
      </c>
      <c r="J51" s="16">
        <f t="shared" si="5"/>
        <v>5.93</v>
      </c>
      <c r="K51" s="16">
        <f t="shared" si="6"/>
        <v>0</v>
      </c>
      <c r="L51" s="17"/>
      <c r="M51" s="16">
        <f t="shared" si="7"/>
        <v>0</v>
      </c>
      <c r="N51" s="17">
        <f t="shared" si="8"/>
        <v>0</v>
      </c>
      <c r="O51" s="17">
        <f t="shared" si="9"/>
        <v>0</v>
      </c>
      <c r="P51" s="18">
        <f t="shared" si="10"/>
        <v>50.5</v>
      </c>
      <c r="Q51" s="19">
        <f t="shared" si="11"/>
        <v>0</v>
      </c>
      <c r="R51" s="19">
        <f t="shared" si="12"/>
        <v>-50.5</v>
      </c>
      <c r="S51" s="20"/>
      <c r="T51" s="22" t="s">
        <v>59</v>
      </c>
    </row>
    <row r="52" spans="1:20" ht="15.75" x14ac:dyDescent="0.25">
      <c r="A52" s="11">
        <f>[1]Лист4!A279</f>
        <v>8</v>
      </c>
      <c r="B52" s="12" t="str">
        <f>[1]Лист4!C279</f>
        <v>FGGD01 Танацетум</v>
      </c>
      <c r="C52" s="13">
        <f>[1]Лист4!D279</f>
        <v>25</v>
      </c>
      <c r="D52" s="14">
        <f>[1]Лист4!F279</f>
        <v>0.74</v>
      </c>
      <c r="E52" s="15">
        <f t="shared" si="0"/>
        <v>18.5</v>
      </c>
      <c r="F52" s="15">
        <f t="shared" si="1"/>
        <v>6.1124000000000005E-2</v>
      </c>
      <c r="G52" s="16">
        <f t="shared" si="2"/>
        <v>1.45</v>
      </c>
      <c r="H52" s="16">
        <f t="shared" si="3"/>
        <v>4.3</v>
      </c>
      <c r="I52" s="16">
        <f t="shared" si="4"/>
        <v>4.96</v>
      </c>
      <c r="J52" s="16">
        <f t="shared" si="5"/>
        <v>4.26</v>
      </c>
      <c r="K52" s="16">
        <f t="shared" si="6"/>
        <v>0</v>
      </c>
      <c r="L52" s="17"/>
      <c r="M52" s="16">
        <f t="shared" si="7"/>
        <v>0</v>
      </c>
      <c r="N52" s="17">
        <f t="shared" si="8"/>
        <v>0</v>
      </c>
      <c r="O52" s="17">
        <f t="shared" si="9"/>
        <v>0</v>
      </c>
      <c r="P52" s="18">
        <f t="shared" si="10"/>
        <v>36.25</v>
      </c>
      <c r="Q52" s="19">
        <f t="shared" si="11"/>
        <v>0</v>
      </c>
      <c r="R52" s="19">
        <f t="shared" si="12"/>
        <v>-36.25</v>
      </c>
      <c r="S52" s="20"/>
      <c r="T52" s="22" t="s">
        <v>60</v>
      </c>
    </row>
    <row r="53" spans="1:20" ht="15.75" x14ac:dyDescent="0.25">
      <c r="A53" s="11">
        <f>[1]Лист4!A280</f>
        <v>8</v>
      </c>
      <c r="B53" s="12" t="str">
        <f>[1]Лист4!C280</f>
        <v>FGGD01 Танацетум Сапфир</v>
      </c>
      <c r="C53" s="13">
        <f>[1]Лист4!D280</f>
        <v>300</v>
      </c>
      <c r="D53" s="14">
        <f>[1]Лист4!F280</f>
        <v>0.72</v>
      </c>
      <c r="E53" s="15">
        <f t="shared" si="0"/>
        <v>216</v>
      </c>
      <c r="F53" s="15">
        <f t="shared" si="1"/>
        <v>5.9471999999999997E-2</v>
      </c>
      <c r="G53" s="16">
        <f t="shared" si="2"/>
        <v>1.41</v>
      </c>
      <c r="H53" s="16">
        <f t="shared" si="3"/>
        <v>4.18</v>
      </c>
      <c r="I53" s="16">
        <f t="shared" si="4"/>
        <v>4.83</v>
      </c>
      <c r="J53" s="16">
        <f t="shared" si="5"/>
        <v>4.1399999999999997</v>
      </c>
      <c r="K53" s="16">
        <f t="shared" si="6"/>
        <v>0</v>
      </c>
      <c r="L53" s="17"/>
      <c r="M53" s="16">
        <f t="shared" si="7"/>
        <v>0</v>
      </c>
      <c r="N53" s="17">
        <f t="shared" si="8"/>
        <v>0</v>
      </c>
      <c r="O53" s="17">
        <f t="shared" si="9"/>
        <v>0</v>
      </c>
      <c r="P53" s="18">
        <f t="shared" si="10"/>
        <v>423</v>
      </c>
      <c r="Q53" s="19">
        <f t="shared" si="11"/>
        <v>0</v>
      </c>
      <c r="R53" s="19">
        <f t="shared" si="12"/>
        <v>-423</v>
      </c>
      <c r="S53" s="20"/>
      <c r="T53" s="22" t="s">
        <v>61</v>
      </c>
    </row>
    <row r="54" spans="1:20" ht="15.75" x14ac:dyDescent="0.25">
      <c r="A54" s="11">
        <f>[1]Лист4!A251</f>
        <v>8</v>
      </c>
      <c r="B54" s="12" t="str">
        <f>[1]Лист4!C251</f>
        <v>FGGD01 Фрезия белая</v>
      </c>
      <c r="C54" s="13">
        <f>[1]Лист4!D251</f>
        <v>200</v>
      </c>
      <c r="D54" s="14">
        <f>[1]Лист4!F251</f>
        <v>0.53</v>
      </c>
      <c r="E54" s="15">
        <f t="shared" si="0"/>
        <v>106</v>
      </c>
      <c r="F54" s="15">
        <f t="shared" si="1"/>
        <v>4.3778000000000004E-2</v>
      </c>
      <c r="G54" s="16">
        <f t="shared" si="2"/>
        <v>1.08</v>
      </c>
      <c r="H54" s="16">
        <f t="shared" si="3"/>
        <v>3.21</v>
      </c>
      <c r="I54" s="16">
        <f t="shared" si="4"/>
        <v>3.6999999999999997</v>
      </c>
      <c r="J54" s="16">
        <f t="shared" si="5"/>
        <v>3.1799999999999997</v>
      </c>
      <c r="K54" s="16">
        <f t="shared" si="6"/>
        <v>0</v>
      </c>
      <c r="L54" s="17"/>
      <c r="M54" s="16">
        <f t="shared" si="7"/>
        <v>0</v>
      </c>
      <c r="N54" s="17">
        <f t="shared" si="8"/>
        <v>0</v>
      </c>
      <c r="O54" s="17">
        <f t="shared" si="9"/>
        <v>0</v>
      </c>
      <c r="P54" s="18">
        <f t="shared" si="10"/>
        <v>216</v>
      </c>
      <c r="Q54" s="19">
        <f t="shared" si="11"/>
        <v>0</v>
      </c>
      <c r="R54" s="19">
        <f t="shared" si="12"/>
        <v>-216</v>
      </c>
      <c r="S54" s="20"/>
      <c r="T54" s="22" t="s">
        <v>62</v>
      </c>
    </row>
    <row r="55" spans="1:20" ht="15.75" x14ac:dyDescent="0.25">
      <c r="A55" s="11">
        <f>[1]Лист4!A243</f>
        <v>8</v>
      </c>
      <c r="B55" s="12" t="str">
        <f>[1]Лист4!C243</f>
        <v>FGGD01 Эустома Алиса апркот</v>
      </c>
      <c r="C55" s="13">
        <f>[1]Лист4!D243</f>
        <v>40</v>
      </c>
      <c r="D55" s="14">
        <f>[1]Лист4!F243</f>
        <v>1.4</v>
      </c>
      <c r="E55" s="15">
        <f t="shared" si="0"/>
        <v>56</v>
      </c>
      <c r="F55" s="15">
        <f t="shared" si="1"/>
        <v>0.11564000000000001</v>
      </c>
      <c r="G55" s="16">
        <f t="shared" si="2"/>
        <v>2.59</v>
      </c>
      <c r="H55" s="16">
        <f t="shared" si="3"/>
        <v>7.68</v>
      </c>
      <c r="I55" s="16">
        <f t="shared" si="4"/>
        <v>8.86</v>
      </c>
      <c r="J55" s="16">
        <f t="shared" si="5"/>
        <v>7.6099999999999994</v>
      </c>
      <c r="K55" s="16">
        <f t="shared" si="6"/>
        <v>0</v>
      </c>
      <c r="L55" s="17"/>
      <c r="M55" s="16">
        <f t="shared" si="7"/>
        <v>0</v>
      </c>
      <c r="N55" s="17">
        <f t="shared" si="8"/>
        <v>0</v>
      </c>
      <c r="O55" s="17">
        <f t="shared" si="9"/>
        <v>0</v>
      </c>
      <c r="P55" s="18">
        <f t="shared" si="10"/>
        <v>103.6</v>
      </c>
      <c r="Q55" s="19">
        <f t="shared" si="11"/>
        <v>0</v>
      </c>
      <c r="R55" s="19">
        <f t="shared" si="12"/>
        <v>-103.6</v>
      </c>
      <c r="S55" s="20"/>
      <c r="T55" s="22" t="s">
        <v>63</v>
      </c>
    </row>
    <row r="56" spans="1:20" ht="15.75" x14ac:dyDescent="0.25">
      <c r="A56" s="11">
        <f>[1]Лист4!A246</f>
        <v>8</v>
      </c>
      <c r="B56" s="12" t="str">
        <f>[1]Лист4!C246</f>
        <v>FGGD01 Эустома алиса белая</v>
      </c>
      <c r="C56" s="13">
        <f>[1]Лист4!D246</f>
        <v>40</v>
      </c>
      <c r="D56" s="14">
        <f>[1]Лист4!F246</f>
        <v>1.27</v>
      </c>
      <c r="E56" s="15">
        <f t="shared" si="0"/>
        <v>50.8</v>
      </c>
      <c r="F56" s="15">
        <f t="shared" si="1"/>
        <v>0.10490200000000001</v>
      </c>
      <c r="G56" s="16">
        <f t="shared" si="2"/>
        <v>2.36</v>
      </c>
      <c r="H56" s="16">
        <f t="shared" si="3"/>
        <v>7</v>
      </c>
      <c r="I56" s="16">
        <f t="shared" si="4"/>
        <v>8.08</v>
      </c>
      <c r="J56" s="16">
        <f t="shared" si="5"/>
        <v>6.93</v>
      </c>
      <c r="K56" s="16">
        <f t="shared" si="6"/>
        <v>0</v>
      </c>
      <c r="L56" s="17"/>
      <c r="M56" s="16">
        <f t="shared" si="7"/>
        <v>0</v>
      </c>
      <c r="N56" s="17">
        <f t="shared" si="8"/>
        <v>0</v>
      </c>
      <c r="O56" s="17">
        <f t="shared" si="9"/>
        <v>0</v>
      </c>
      <c r="P56" s="18">
        <f t="shared" si="10"/>
        <v>94.399999999999991</v>
      </c>
      <c r="Q56" s="19">
        <f t="shared" si="11"/>
        <v>0</v>
      </c>
      <c r="R56" s="19">
        <f t="shared" si="12"/>
        <v>-94.399999999999991</v>
      </c>
      <c r="S56" s="20"/>
      <c r="T56" s="22" t="s">
        <v>64</v>
      </c>
    </row>
    <row r="57" spans="1:20" ht="15.75" x14ac:dyDescent="0.25">
      <c r="A57" s="11">
        <f>[1]Лист4!A245</f>
        <v>8</v>
      </c>
      <c r="B57" s="12" t="str">
        <f>[1]Лист4!C245</f>
        <v>FGGD01 Эустома Алиса пич</v>
      </c>
      <c r="C57" s="13">
        <f>[1]Лист4!D245</f>
        <v>60</v>
      </c>
      <c r="D57" s="14">
        <f>[1]Лист4!F245</f>
        <v>1.42</v>
      </c>
      <c r="E57" s="15">
        <f t="shared" si="0"/>
        <v>85.199999999999989</v>
      </c>
      <c r="F57" s="15">
        <f t="shared" si="1"/>
        <v>0.11729199999999999</v>
      </c>
      <c r="G57" s="16">
        <f t="shared" si="2"/>
        <v>2.62</v>
      </c>
      <c r="H57" s="16">
        <f t="shared" si="3"/>
        <v>7.77</v>
      </c>
      <c r="I57" s="16">
        <f t="shared" si="4"/>
        <v>8.9700000000000006</v>
      </c>
      <c r="J57" s="16">
        <f t="shared" si="5"/>
        <v>7.7</v>
      </c>
      <c r="K57" s="16">
        <f t="shared" si="6"/>
        <v>0</v>
      </c>
      <c r="L57" s="17"/>
      <c r="M57" s="16">
        <f t="shared" si="7"/>
        <v>0</v>
      </c>
      <c r="N57" s="17">
        <f t="shared" si="8"/>
        <v>0</v>
      </c>
      <c r="O57" s="17">
        <f t="shared" si="9"/>
        <v>0</v>
      </c>
      <c r="P57" s="18">
        <f t="shared" si="10"/>
        <v>157.20000000000002</v>
      </c>
      <c r="Q57" s="19">
        <f t="shared" si="11"/>
        <v>0</v>
      </c>
      <c r="R57" s="19">
        <f t="shared" si="12"/>
        <v>-157.20000000000002</v>
      </c>
      <c r="S57" s="20"/>
      <c r="T57" s="22" t="s">
        <v>65</v>
      </c>
    </row>
    <row r="58" spans="1:20" ht="15.75" x14ac:dyDescent="0.25">
      <c r="A58" s="11">
        <f>[1]Лист4!A239</f>
        <v>8</v>
      </c>
      <c r="B58" s="12" t="str">
        <f>[1]Лист4!C239</f>
        <v>FGGD08 Амми красный</v>
      </c>
      <c r="C58" s="13">
        <f>[1]Лист4!D239</f>
        <v>20</v>
      </c>
      <c r="D58" s="14">
        <f>[1]Лист4!F239</f>
        <v>0.45</v>
      </c>
      <c r="E58" s="15">
        <f t="shared" si="0"/>
        <v>9</v>
      </c>
      <c r="F58" s="15">
        <f t="shared" si="1"/>
        <v>3.7170000000000009E-2</v>
      </c>
      <c r="G58" s="16">
        <f t="shared" si="2"/>
        <v>0.95</v>
      </c>
      <c r="H58" s="16">
        <f t="shared" si="3"/>
        <v>2.82</v>
      </c>
      <c r="I58" s="16">
        <f t="shared" si="4"/>
        <v>3.25</v>
      </c>
      <c r="J58" s="16">
        <f t="shared" si="5"/>
        <v>2.7899999999999996</v>
      </c>
      <c r="K58" s="16">
        <f t="shared" si="6"/>
        <v>0</v>
      </c>
      <c r="L58" s="17"/>
      <c r="M58" s="16">
        <f t="shared" si="7"/>
        <v>0</v>
      </c>
      <c r="N58" s="17">
        <f t="shared" si="8"/>
        <v>0</v>
      </c>
      <c r="O58" s="17">
        <f t="shared" si="9"/>
        <v>0</v>
      </c>
      <c r="P58" s="18">
        <f t="shared" si="10"/>
        <v>19</v>
      </c>
      <c r="Q58" s="19">
        <f t="shared" si="11"/>
        <v>0</v>
      </c>
      <c r="R58" s="19">
        <f t="shared" si="12"/>
        <v>-19</v>
      </c>
      <c r="S58" s="20"/>
      <c r="T58" s="22" t="s">
        <v>66</v>
      </c>
    </row>
    <row r="59" spans="1:20" ht="15.75" x14ac:dyDescent="0.25">
      <c r="A59" s="11">
        <f>[1]Лист4!A254</f>
        <v>8</v>
      </c>
      <c r="B59" s="12" t="str">
        <f>[1]Лист4!C254</f>
        <v>FGGD08 Гербера паста маринара</v>
      </c>
      <c r="C59" s="13">
        <f>[1]Лист4!D254</f>
        <v>45</v>
      </c>
      <c r="D59" s="14">
        <f>[1]Лист4!F254</f>
        <v>0.61</v>
      </c>
      <c r="E59" s="15">
        <f t="shared" si="0"/>
        <v>27.45</v>
      </c>
      <c r="F59" s="15">
        <f t="shared" si="1"/>
        <v>5.0386000000000007E-2</v>
      </c>
      <c r="G59" s="16">
        <f t="shared" si="2"/>
        <v>1.22</v>
      </c>
      <c r="H59" s="16">
        <f t="shared" si="3"/>
        <v>3.6199999999999997</v>
      </c>
      <c r="I59" s="16">
        <f t="shared" si="4"/>
        <v>4.18</v>
      </c>
      <c r="J59" s="16">
        <f t="shared" si="5"/>
        <v>3.59</v>
      </c>
      <c r="K59" s="16">
        <f t="shared" si="6"/>
        <v>0</v>
      </c>
      <c r="L59" s="17"/>
      <c r="M59" s="16">
        <f t="shared" si="7"/>
        <v>0</v>
      </c>
      <c r="N59" s="17">
        <f t="shared" si="8"/>
        <v>0</v>
      </c>
      <c r="O59" s="17">
        <f t="shared" si="9"/>
        <v>0</v>
      </c>
      <c r="P59" s="18">
        <f t="shared" si="10"/>
        <v>54.9</v>
      </c>
      <c r="Q59" s="19">
        <f t="shared" si="11"/>
        <v>0</v>
      </c>
      <c r="R59" s="19">
        <f t="shared" si="12"/>
        <v>-54.9</v>
      </c>
      <c r="S59" s="20"/>
      <c r="T59" s="22" t="s">
        <v>67</v>
      </c>
    </row>
    <row r="60" spans="1:20" ht="15.75" x14ac:dyDescent="0.25">
      <c r="A60" s="11">
        <f>[1]Лист4!A256</f>
        <v>8</v>
      </c>
      <c r="B60" s="12" t="str">
        <f>[1]Лист4!C256</f>
        <v>FGGD08 Гортензия революшин</v>
      </c>
      <c r="C60" s="13">
        <f>[1]Лист4!D256</f>
        <v>10</v>
      </c>
      <c r="D60" s="14">
        <f>[1]Лист4!F256</f>
        <v>2.68</v>
      </c>
      <c r="E60" s="15">
        <f t="shared" si="0"/>
        <v>26.8</v>
      </c>
      <c r="F60" s="15">
        <f t="shared" si="1"/>
        <v>0.22136800000000001</v>
      </c>
      <c r="G60" s="16">
        <f t="shared" si="2"/>
        <v>4.8</v>
      </c>
      <c r="H60" s="16">
        <f t="shared" si="3"/>
        <v>14.23</v>
      </c>
      <c r="I60" s="16">
        <f t="shared" si="4"/>
        <v>16.420000000000002</v>
      </c>
      <c r="J60" s="16">
        <f t="shared" si="5"/>
        <v>14.1</v>
      </c>
      <c r="K60" s="16">
        <f t="shared" si="6"/>
        <v>0</v>
      </c>
      <c r="L60" s="17"/>
      <c r="M60" s="16">
        <f t="shared" si="7"/>
        <v>0</v>
      </c>
      <c r="N60" s="17">
        <f t="shared" si="8"/>
        <v>0</v>
      </c>
      <c r="O60" s="17">
        <f t="shared" si="9"/>
        <v>0</v>
      </c>
      <c r="P60" s="18">
        <f t="shared" si="10"/>
        <v>48</v>
      </c>
      <c r="Q60" s="19">
        <f t="shared" si="11"/>
        <v>0</v>
      </c>
      <c r="R60" s="19">
        <f t="shared" si="12"/>
        <v>-48</v>
      </c>
      <c r="S60" s="20"/>
      <c r="T60" s="22" t="s">
        <v>68</v>
      </c>
    </row>
    <row r="61" spans="1:20" ht="15.75" x14ac:dyDescent="0.25">
      <c r="A61" s="11">
        <f>[1]Лист4!A258</f>
        <v>8</v>
      </c>
      <c r="B61" s="12" t="str">
        <f>[1]Лист4!C258</f>
        <v>FGGD08 Гортензия Синсация сиреневая</v>
      </c>
      <c r="C61" s="13">
        <f>[1]Лист4!D258</f>
        <v>10</v>
      </c>
      <c r="D61" s="14">
        <f>[1]Лист4!F258</f>
        <v>2.86</v>
      </c>
      <c r="E61" s="15">
        <f t="shared" si="0"/>
        <v>28.599999999999998</v>
      </c>
      <c r="F61" s="15">
        <f t="shared" si="1"/>
        <v>0.236236</v>
      </c>
      <c r="G61" s="16">
        <f t="shared" si="2"/>
        <v>5.1100000000000003</v>
      </c>
      <c r="H61" s="16">
        <f t="shared" si="3"/>
        <v>15.15</v>
      </c>
      <c r="I61" s="16">
        <f t="shared" si="4"/>
        <v>17.48</v>
      </c>
      <c r="J61" s="16">
        <f t="shared" si="5"/>
        <v>15.01</v>
      </c>
      <c r="K61" s="16">
        <f t="shared" si="6"/>
        <v>0</v>
      </c>
      <c r="L61" s="17"/>
      <c r="M61" s="16">
        <f t="shared" si="7"/>
        <v>0</v>
      </c>
      <c r="N61" s="17">
        <f t="shared" si="8"/>
        <v>0</v>
      </c>
      <c r="O61" s="17">
        <f t="shared" si="9"/>
        <v>0</v>
      </c>
      <c r="P61" s="18">
        <f t="shared" si="10"/>
        <v>51.1</v>
      </c>
      <c r="Q61" s="19">
        <f t="shared" si="11"/>
        <v>0</v>
      </c>
      <c r="R61" s="19">
        <f t="shared" si="12"/>
        <v>-51.1</v>
      </c>
      <c r="S61" s="20"/>
      <c r="T61" s="22" t="s">
        <v>69</v>
      </c>
    </row>
    <row r="62" spans="1:20" ht="15.75" x14ac:dyDescent="0.25">
      <c r="A62" s="11">
        <f>[1]Лист4!A240</f>
        <v>8</v>
      </c>
      <c r="B62" s="12" t="str">
        <f>[1]Лист4!C240</f>
        <v>FGGD08 Дельфиниум лавандовый</v>
      </c>
      <c r="C62" s="13">
        <f>[1]Лист4!D240</f>
        <v>20</v>
      </c>
      <c r="D62" s="14">
        <f>[1]Лист4!F240</f>
        <v>1.72</v>
      </c>
      <c r="E62" s="15">
        <f t="shared" si="0"/>
        <v>34.4</v>
      </c>
      <c r="F62" s="15">
        <f t="shared" si="1"/>
        <v>0.142072</v>
      </c>
      <c r="G62" s="16">
        <f t="shared" si="2"/>
        <v>3.14</v>
      </c>
      <c r="H62" s="16">
        <f t="shared" si="3"/>
        <v>9.31</v>
      </c>
      <c r="I62" s="16">
        <f t="shared" si="4"/>
        <v>10.74</v>
      </c>
      <c r="J62" s="16">
        <f t="shared" si="5"/>
        <v>9.2200000000000006</v>
      </c>
      <c r="K62" s="16">
        <f t="shared" si="6"/>
        <v>0</v>
      </c>
      <c r="L62" s="17"/>
      <c r="M62" s="16">
        <f t="shared" si="7"/>
        <v>0</v>
      </c>
      <c r="N62" s="17">
        <f t="shared" si="8"/>
        <v>0</v>
      </c>
      <c r="O62" s="17">
        <f t="shared" si="9"/>
        <v>0</v>
      </c>
      <c r="P62" s="18">
        <f t="shared" si="10"/>
        <v>62.800000000000004</v>
      </c>
      <c r="Q62" s="19">
        <f t="shared" si="11"/>
        <v>0</v>
      </c>
      <c r="R62" s="19">
        <f t="shared" si="12"/>
        <v>-62.800000000000004</v>
      </c>
      <c r="S62" s="20"/>
      <c r="T62" s="22" t="s">
        <v>70</v>
      </c>
    </row>
    <row r="63" spans="1:20" ht="15.75" x14ac:dyDescent="0.25">
      <c r="A63" s="11">
        <f>[1]Лист4!A289</f>
        <v>8</v>
      </c>
      <c r="B63" s="12" t="str">
        <f>[1]Лист4!C289</f>
        <v>FGGD08 Калла желтая</v>
      </c>
      <c r="C63" s="13">
        <f>[1]Лист4!D289</f>
        <v>40</v>
      </c>
      <c r="D63" s="14">
        <f>[1]Лист4!F289</f>
        <v>0.79</v>
      </c>
      <c r="E63" s="15">
        <f t="shared" si="0"/>
        <v>31.6</v>
      </c>
      <c r="F63" s="15">
        <f t="shared" si="1"/>
        <v>6.5254000000000006E-2</v>
      </c>
      <c r="G63" s="16">
        <f t="shared" si="2"/>
        <v>1.53</v>
      </c>
      <c r="H63" s="16">
        <f t="shared" si="3"/>
        <v>4.54</v>
      </c>
      <c r="I63" s="16">
        <f t="shared" si="4"/>
        <v>5.24</v>
      </c>
      <c r="J63" s="16">
        <f t="shared" si="5"/>
        <v>4.5</v>
      </c>
      <c r="K63" s="16">
        <f t="shared" si="6"/>
        <v>0</v>
      </c>
      <c r="L63" s="17"/>
      <c r="M63" s="16">
        <f t="shared" si="7"/>
        <v>0</v>
      </c>
      <c r="N63" s="17">
        <f t="shared" si="8"/>
        <v>0</v>
      </c>
      <c r="O63" s="17">
        <f t="shared" si="9"/>
        <v>0</v>
      </c>
      <c r="P63" s="18">
        <f t="shared" si="10"/>
        <v>61.2</v>
      </c>
      <c r="Q63" s="19">
        <f t="shared" si="11"/>
        <v>0</v>
      </c>
      <c r="R63" s="19">
        <f t="shared" si="12"/>
        <v>-61.2</v>
      </c>
      <c r="S63" s="20"/>
      <c r="T63" s="22" t="s">
        <v>71</v>
      </c>
    </row>
    <row r="64" spans="1:20" ht="15.75" x14ac:dyDescent="0.25">
      <c r="A64" s="11">
        <f>[1]Лист4!A235</f>
        <v>8</v>
      </c>
      <c r="B64" s="12" t="str">
        <f>[1]Лист4!C235</f>
        <v>FGGD08 Кампанула лавандовая</v>
      </c>
      <c r="C64" s="13">
        <f>[1]Лист4!D235</f>
        <v>20</v>
      </c>
      <c r="D64" s="14">
        <f>[1]Лист4!F235</f>
        <v>0.9</v>
      </c>
      <c r="E64" s="15">
        <f t="shared" si="0"/>
        <v>18</v>
      </c>
      <c r="F64" s="15">
        <f t="shared" si="1"/>
        <v>7.4340000000000017E-2</v>
      </c>
      <c r="G64" s="16">
        <f t="shared" si="2"/>
        <v>1.72</v>
      </c>
      <c r="H64" s="16">
        <f t="shared" si="3"/>
        <v>5.0999999999999996</v>
      </c>
      <c r="I64" s="16">
        <f t="shared" si="4"/>
        <v>5.89</v>
      </c>
      <c r="J64" s="16">
        <f t="shared" si="5"/>
        <v>5.05</v>
      </c>
      <c r="K64" s="16">
        <f t="shared" si="6"/>
        <v>0</v>
      </c>
      <c r="L64" s="17"/>
      <c r="M64" s="16">
        <f t="shared" si="7"/>
        <v>0</v>
      </c>
      <c r="N64" s="17">
        <f t="shared" si="8"/>
        <v>0</v>
      </c>
      <c r="O64" s="17">
        <f t="shared" si="9"/>
        <v>0</v>
      </c>
      <c r="P64" s="18">
        <f t="shared" si="10"/>
        <v>34.4</v>
      </c>
      <c r="Q64" s="19">
        <f t="shared" si="11"/>
        <v>0</v>
      </c>
      <c r="R64" s="19">
        <f t="shared" si="12"/>
        <v>-34.4</v>
      </c>
      <c r="S64" s="20"/>
      <c r="T64" s="22" t="s">
        <v>72</v>
      </c>
    </row>
    <row r="65" spans="1:20" ht="15.75" x14ac:dyDescent="0.25">
      <c r="A65" s="11">
        <f>[1]Лист4!A238</f>
        <v>8</v>
      </c>
      <c r="B65" s="12" t="str">
        <f>[1]Лист4!C238</f>
        <v>FGGD08 Клематис синий</v>
      </c>
      <c r="C65" s="13">
        <f>[1]Лист4!D238</f>
        <v>10</v>
      </c>
      <c r="D65" s="14">
        <f>[1]Лист4!F238</f>
        <v>0.45</v>
      </c>
      <c r="E65" s="15">
        <f t="shared" si="0"/>
        <v>4.5</v>
      </c>
      <c r="F65" s="15">
        <f t="shared" si="1"/>
        <v>3.7170000000000009E-2</v>
      </c>
      <c r="G65" s="16">
        <f t="shared" si="2"/>
        <v>0.95</v>
      </c>
      <c r="H65" s="16">
        <f t="shared" si="3"/>
        <v>2.82</v>
      </c>
      <c r="I65" s="16">
        <f t="shared" si="4"/>
        <v>3.25</v>
      </c>
      <c r="J65" s="16">
        <f t="shared" si="5"/>
        <v>2.7899999999999996</v>
      </c>
      <c r="K65" s="16">
        <f t="shared" si="6"/>
        <v>0</v>
      </c>
      <c r="L65" s="17"/>
      <c r="M65" s="16">
        <f t="shared" si="7"/>
        <v>0</v>
      </c>
      <c r="N65" s="17">
        <f t="shared" si="8"/>
        <v>0</v>
      </c>
      <c r="O65" s="17">
        <f t="shared" si="9"/>
        <v>0</v>
      </c>
      <c r="P65" s="18">
        <f t="shared" si="10"/>
        <v>9.5</v>
      </c>
      <c r="Q65" s="19">
        <f t="shared" si="11"/>
        <v>0</v>
      </c>
      <c r="R65" s="19">
        <f t="shared" si="12"/>
        <v>-9.5</v>
      </c>
      <c r="S65" s="20"/>
      <c r="T65" s="22" t="s">
        <v>73</v>
      </c>
    </row>
    <row r="66" spans="1:20" ht="15.75" x14ac:dyDescent="0.25">
      <c r="A66" s="11">
        <f>[1]Лист4!A231</f>
        <v>6</v>
      </c>
      <c r="B66" s="12" t="str">
        <f>[1]Лист4!C231</f>
        <v>FGGD08 Лилия лонги белая</v>
      </c>
      <c r="C66" s="13">
        <f>[1]Лист4!D231</f>
        <v>20</v>
      </c>
      <c r="D66" s="14">
        <f>[1]Лист4!F231</f>
        <v>0.82</v>
      </c>
      <c r="E66" s="15">
        <f t="shared" si="0"/>
        <v>16.399999999999999</v>
      </c>
      <c r="F66" s="15">
        <f t="shared" si="1"/>
        <v>6.7732000000000001E-2</v>
      </c>
      <c r="G66" s="16">
        <f t="shared" si="2"/>
        <v>1.58</v>
      </c>
      <c r="H66" s="16">
        <f t="shared" si="3"/>
        <v>4.6899999999999995</v>
      </c>
      <c r="I66" s="16">
        <f t="shared" si="4"/>
        <v>5.41</v>
      </c>
      <c r="J66" s="16">
        <f t="shared" si="5"/>
        <v>4.6399999999999997</v>
      </c>
      <c r="K66" s="16">
        <f t="shared" si="6"/>
        <v>0</v>
      </c>
      <c r="L66" s="17"/>
      <c r="M66" s="16">
        <f t="shared" si="7"/>
        <v>0</v>
      </c>
      <c r="N66" s="17">
        <f t="shared" si="8"/>
        <v>0</v>
      </c>
      <c r="O66" s="17">
        <f t="shared" si="9"/>
        <v>0</v>
      </c>
      <c r="P66" s="18">
        <f t="shared" si="10"/>
        <v>31.6</v>
      </c>
      <c r="Q66" s="19">
        <f t="shared" si="11"/>
        <v>0</v>
      </c>
      <c r="R66" s="19">
        <f t="shared" si="12"/>
        <v>-31.6</v>
      </c>
      <c r="S66" s="20"/>
      <c r="T66" s="22" t="s">
        <v>74</v>
      </c>
    </row>
    <row r="67" spans="1:20" ht="15.75" x14ac:dyDescent="0.25">
      <c r="A67" s="11">
        <f>[1]Лист4!A264</f>
        <v>8</v>
      </c>
      <c r="B67" s="12" t="str">
        <f>[1]Лист4!C264</f>
        <v>FGGD08 Матиола Априкот</v>
      </c>
      <c r="C67" s="13">
        <f>[1]Лист4!D264</f>
        <v>20</v>
      </c>
      <c r="D67" s="14">
        <f>[1]Лист4!F264</f>
        <v>0.91</v>
      </c>
      <c r="E67" s="15">
        <f t="shared" ref="E67:E130" si="13">D67*C67</f>
        <v>18.2</v>
      </c>
      <c r="F67" s="15">
        <f t="shared" ref="F67:F130" si="14">D67*1.18*0.07</f>
        <v>7.5166000000000011E-2</v>
      </c>
      <c r="G67" s="16">
        <f t="shared" ref="G67:G130" si="15">ROUND((((D67*1.15)*1.18)+F67+0.14)*1.2,2)</f>
        <v>1.74</v>
      </c>
      <c r="H67" s="16">
        <f t="shared" ref="H67:H130" si="16">ROUNDUP(G67*1.04*$N$1,2)</f>
        <v>5.16</v>
      </c>
      <c r="I67" s="16">
        <f t="shared" ref="I67:I130" si="17">ROUNDUP(G67*1.2*$N$1,2)</f>
        <v>5.96</v>
      </c>
      <c r="J67" s="16">
        <f t="shared" ref="J67:J130" si="18">ROUNDUP(G67*1.03*$N$1,2)</f>
        <v>5.1099999999999994</v>
      </c>
      <c r="K67" s="16">
        <f t="shared" ref="K67:K130" si="19">N67*0.95</f>
        <v>0</v>
      </c>
      <c r="L67" s="17"/>
      <c r="M67" s="16">
        <f t="shared" ref="M67:M130" si="20">ROUNDUP(L67*0.88,2)</f>
        <v>0</v>
      </c>
      <c r="N67" s="17">
        <f t="shared" ref="N67:N130" si="21">ROUNDUP(L67*$N$1,2)</f>
        <v>0</v>
      </c>
      <c r="O67" s="17">
        <f t="shared" ref="O67:O130" si="22">ROUNDUP(N67*0.88,2)</f>
        <v>0</v>
      </c>
      <c r="P67" s="18">
        <f t="shared" ref="P67:P130" si="23">G67*C67</f>
        <v>34.799999999999997</v>
      </c>
      <c r="Q67" s="19">
        <f t="shared" ref="Q67:Q130" si="24">L67*C67</f>
        <v>0</v>
      </c>
      <c r="R67" s="19">
        <f t="shared" ref="R67:R130" si="25">Q67-P67</f>
        <v>-34.799999999999997</v>
      </c>
      <c r="S67" s="20"/>
      <c r="T67" s="22" t="s">
        <v>75</v>
      </c>
    </row>
    <row r="68" spans="1:20" ht="15.75" x14ac:dyDescent="0.25">
      <c r="A68" s="11">
        <f>[1]Лист4!A265</f>
        <v>8</v>
      </c>
      <c r="B68" s="12" t="str">
        <f>[1]Лист4!C265</f>
        <v>FGGD08 Оксипеталум</v>
      </c>
      <c r="C68" s="13">
        <f>[1]Лист4!D265</f>
        <v>50</v>
      </c>
      <c r="D68" s="14">
        <f>[1]Лист4!F265</f>
        <v>0.75</v>
      </c>
      <c r="E68" s="15">
        <f t="shared" si="13"/>
        <v>37.5</v>
      </c>
      <c r="F68" s="15">
        <f t="shared" si="14"/>
        <v>6.1950000000000005E-2</v>
      </c>
      <c r="G68" s="16">
        <f t="shared" si="15"/>
        <v>1.46</v>
      </c>
      <c r="H68" s="16">
        <f t="shared" si="16"/>
        <v>4.33</v>
      </c>
      <c r="I68" s="16">
        <f t="shared" si="17"/>
        <v>5</v>
      </c>
      <c r="J68" s="16">
        <f t="shared" si="18"/>
        <v>4.29</v>
      </c>
      <c r="K68" s="16">
        <f t="shared" si="19"/>
        <v>0</v>
      </c>
      <c r="L68" s="17"/>
      <c r="M68" s="16">
        <f t="shared" si="20"/>
        <v>0</v>
      </c>
      <c r="N68" s="17">
        <f t="shared" si="21"/>
        <v>0</v>
      </c>
      <c r="O68" s="17">
        <f t="shared" si="22"/>
        <v>0</v>
      </c>
      <c r="P68" s="18">
        <f t="shared" si="23"/>
        <v>73</v>
      </c>
      <c r="Q68" s="19">
        <f t="shared" si="24"/>
        <v>0</v>
      </c>
      <c r="R68" s="19">
        <f t="shared" si="25"/>
        <v>-73</v>
      </c>
      <c r="S68" s="20"/>
      <c r="T68" s="22" t="s">
        <v>76</v>
      </c>
    </row>
    <row r="69" spans="1:20" ht="15.75" x14ac:dyDescent="0.25">
      <c r="A69" s="11">
        <f>[1]Лист4!A266</f>
        <v>8</v>
      </c>
      <c r="B69" s="12" t="str">
        <f>[1]Лист4!C266</f>
        <v>FGGD08 Пион Корал Сансет</v>
      </c>
      <c r="C69" s="13">
        <f>[1]Лист4!D266</f>
        <v>70</v>
      </c>
      <c r="D69" s="14">
        <f>[1]Лист4!F266</f>
        <v>1.1100000000000001</v>
      </c>
      <c r="E69" s="15">
        <f t="shared" si="13"/>
        <v>77.7</v>
      </c>
      <c r="F69" s="15">
        <f t="shared" si="14"/>
        <v>9.1686000000000017E-2</v>
      </c>
      <c r="G69" s="16">
        <f t="shared" si="15"/>
        <v>2.09</v>
      </c>
      <c r="H69" s="16">
        <f t="shared" si="16"/>
        <v>6.2</v>
      </c>
      <c r="I69" s="16">
        <f t="shared" si="17"/>
        <v>7.1499999999999995</v>
      </c>
      <c r="J69" s="16">
        <f t="shared" si="18"/>
        <v>6.14</v>
      </c>
      <c r="K69" s="16">
        <f t="shared" si="19"/>
        <v>0</v>
      </c>
      <c r="L69" s="17"/>
      <c r="M69" s="16">
        <f t="shared" si="20"/>
        <v>0</v>
      </c>
      <c r="N69" s="17">
        <f t="shared" si="21"/>
        <v>0</v>
      </c>
      <c r="O69" s="17">
        <f t="shared" si="22"/>
        <v>0</v>
      </c>
      <c r="P69" s="18">
        <f t="shared" si="23"/>
        <v>146.29999999999998</v>
      </c>
      <c r="Q69" s="19">
        <f t="shared" si="24"/>
        <v>0</v>
      </c>
      <c r="R69" s="19">
        <f t="shared" si="25"/>
        <v>-146.29999999999998</v>
      </c>
      <c r="S69" s="20"/>
      <c r="T69" s="22" t="s">
        <v>20</v>
      </c>
    </row>
    <row r="70" spans="1:20" ht="15.75" x14ac:dyDescent="0.25">
      <c r="A70" s="11">
        <f>[1]Лист4!A273</f>
        <v>8</v>
      </c>
      <c r="B70" s="12" t="str">
        <f>[1]Лист4!C273</f>
        <v>FGGD08 Пион Одиль</v>
      </c>
      <c r="C70" s="13">
        <f>[1]Лист4!D273</f>
        <v>40</v>
      </c>
      <c r="D70" s="14">
        <f>[1]Лист4!F273</f>
        <v>1.3</v>
      </c>
      <c r="E70" s="15">
        <f t="shared" si="13"/>
        <v>52</v>
      </c>
      <c r="F70" s="15">
        <f t="shared" si="14"/>
        <v>0.10738000000000002</v>
      </c>
      <c r="G70" s="16">
        <f t="shared" si="15"/>
        <v>2.41</v>
      </c>
      <c r="H70" s="16">
        <f t="shared" si="16"/>
        <v>7.1499999999999995</v>
      </c>
      <c r="I70" s="16">
        <f t="shared" si="17"/>
        <v>8.25</v>
      </c>
      <c r="J70" s="16">
        <f t="shared" si="18"/>
        <v>7.08</v>
      </c>
      <c r="K70" s="16">
        <f t="shared" si="19"/>
        <v>0</v>
      </c>
      <c r="L70" s="17"/>
      <c r="M70" s="16">
        <f t="shared" si="20"/>
        <v>0</v>
      </c>
      <c r="N70" s="17">
        <f t="shared" si="21"/>
        <v>0</v>
      </c>
      <c r="O70" s="17">
        <f t="shared" si="22"/>
        <v>0</v>
      </c>
      <c r="P70" s="18">
        <f t="shared" si="23"/>
        <v>96.4</v>
      </c>
      <c r="Q70" s="19">
        <f t="shared" si="24"/>
        <v>0</v>
      </c>
      <c r="R70" s="19">
        <f t="shared" si="25"/>
        <v>-96.4</v>
      </c>
      <c r="S70" s="20"/>
      <c r="T70" s="22" t="s">
        <v>77</v>
      </c>
    </row>
    <row r="71" spans="1:20" ht="15.75" x14ac:dyDescent="0.25">
      <c r="A71" s="11">
        <f>[1]Лист4!A277</f>
        <v>8</v>
      </c>
      <c r="B71" s="12" t="str">
        <f>[1]Лист4!C277</f>
        <v>FGGD08 Пион Сара Бернард</v>
      </c>
      <c r="C71" s="13">
        <f>[1]Лист4!D277</f>
        <v>60</v>
      </c>
      <c r="D71" s="14">
        <f>[1]Лист4!F277</f>
        <v>1.1399999999999999</v>
      </c>
      <c r="E71" s="15">
        <f t="shared" si="13"/>
        <v>68.399999999999991</v>
      </c>
      <c r="F71" s="15">
        <f t="shared" si="14"/>
        <v>9.4163999999999984E-2</v>
      </c>
      <c r="G71" s="16">
        <f t="shared" si="15"/>
        <v>2.14</v>
      </c>
      <c r="H71" s="16">
        <f t="shared" si="16"/>
        <v>6.35</v>
      </c>
      <c r="I71" s="16">
        <f t="shared" si="17"/>
        <v>7.3199999999999994</v>
      </c>
      <c r="J71" s="16">
        <f t="shared" si="18"/>
        <v>6.29</v>
      </c>
      <c r="K71" s="16">
        <f t="shared" si="19"/>
        <v>0</v>
      </c>
      <c r="L71" s="17"/>
      <c r="M71" s="16">
        <f t="shared" si="20"/>
        <v>0</v>
      </c>
      <c r="N71" s="17">
        <f t="shared" si="21"/>
        <v>0</v>
      </c>
      <c r="O71" s="17">
        <f t="shared" si="22"/>
        <v>0</v>
      </c>
      <c r="P71" s="18">
        <f t="shared" si="23"/>
        <v>128.4</v>
      </c>
      <c r="Q71" s="19">
        <f t="shared" si="24"/>
        <v>0</v>
      </c>
      <c r="R71" s="19">
        <f t="shared" si="25"/>
        <v>-128.4</v>
      </c>
      <c r="S71" s="20"/>
      <c r="T71" s="22" t="s">
        <v>78</v>
      </c>
    </row>
    <row r="72" spans="1:20" ht="15.75" x14ac:dyDescent="0.25">
      <c r="A72" s="11">
        <f>[1]Лист4!A278</f>
        <v>8</v>
      </c>
      <c r="B72" s="12" t="str">
        <f>[1]Лист4!C278</f>
        <v>FGGD08 Сангвисорба красная</v>
      </c>
      <c r="C72" s="13">
        <f>[1]Лист4!D278</f>
        <v>75</v>
      </c>
      <c r="D72" s="14">
        <f>[1]Лист4!F278</f>
        <v>0.44</v>
      </c>
      <c r="E72" s="15">
        <f t="shared" si="13"/>
        <v>33</v>
      </c>
      <c r="F72" s="15">
        <f t="shared" si="14"/>
        <v>3.6344000000000001E-2</v>
      </c>
      <c r="G72" s="16">
        <f t="shared" si="15"/>
        <v>0.93</v>
      </c>
      <c r="H72" s="16">
        <f t="shared" si="16"/>
        <v>2.76</v>
      </c>
      <c r="I72" s="16">
        <f t="shared" si="17"/>
        <v>3.19</v>
      </c>
      <c r="J72" s="16">
        <f t="shared" si="18"/>
        <v>2.7399999999999998</v>
      </c>
      <c r="K72" s="16">
        <f t="shared" si="19"/>
        <v>0</v>
      </c>
      <c r="L72" s="17"/>
      <c r="M72" s="16">
        <f t="shared" si="20"/>
        <v>0</v>
      </c>
      <c r="N72" s="17">
        <f t="shared" si="21"/>
        <v>0</v>
      </c>
      <c r="O72" s="17">
        <f t="shared" si="22"/>
        <v>0</v>
      </c>
      <c r="P72" s="18">
        <f t="shared" si="23"/>
        <v>69.75</v>
      </c>
      <c r="Q72" s="19">
        <f t="shared" si="24"/>
        <v>0</v>
      </c>
      <c r="R72" s="19">
        <f t="shared" si="25"/>
        <v>-69.75</v>
      </c>
      <c r="S72" s="20"/>
      <c r="T72" s="22" t="s">
        <v>79</v>
      </c>
    </row>
    <row r="73" spans="1:20" ht="15.75" x14ac:dyDescent="0.25">
      <c r="A73" s="11">
        <f>[1]Лист4!A281</f>
        <v>8</v>
      </c>
      <c r="B73" s="12" t="str">
        <f>[1]Лист4!C281</f>
        <v>FGGD08 Танацетум Сапфир</v>
      </c>
      <c r="C73" s="13">
        <f>[1]Лист4!D281</f>
        <v>100</v>
      </c>
      <c r="D73" s="14">
        <f>[1]Лист4!F281</f>
        <v>0.72</v>
      </c>
      <c r="E73" s="15">
        <f t="shared" si="13"/>
        <v>72</v>
      </c>
      <c r="F73" s="15">
        <f t="shared" si="14"/>
        <v>5.9471999999999997E-2</v>
      </c>
      <c r="G73" s="16">
        <f t="shared" si="15"/>
        <v>1.41</v>
      </c>
      <c r="H73" s="16">
        <f t="shared" si="16"/>
        <v>4.18</v>
      </c>
      <c r="I73" s="16">
        <f t="shared" si="17"/>
        <v>4.83</v>
      </c>
      <c r="J73" s="16">
        <f t="shared" si="18"/>
        <v>4.1399999999999997</v>
      </c>
      <c r="K73" s="16">
        <f t="shared" si="19"/>
        <v>0</v>
      </c>
      <c r="L73" s="17"/>
      <c r="M73" s="16">
        <f t="shared" si="20"/>
        <v>0</v>
      </c>
      <c r="N73" s="17">
        <f t="shared" si="21"/>
        <v>0</v>
      </c>
      <c r="O73" s="17">
        <f t="shared" si="22"/>
        <v>0</v>
      </c>
      <c r="P73" s="18">
        <f t="shared" si="23"/>
        <v>141</v>
      </c>
      <c r="Q73" s="19">
        <f t="shared" si="24"/>
        <v>0</v>
      </c>
      <c r="R73" s="19">
        <f t="shared" si="25"/>
        <v>-141</v>
      </c>
      <c r="S73" s="20"/>
      <c r="T73" s="22" t="s">
        <v>61</v>
      </c>
    </row>
    <row r="74" spans="1:20" ht="15.75" x14ac:dyDescent="0.25">
      <c r="A74" s="11">
        <f>[1]Лист4!A217</f>
        <v>2</v>
      </c>
      <c r="B74" s="12" t="str">
        <f>[1]Лист4!C217</f>
        <v>FGGD08 Хризантема сантини лоусон</v>
      </c>
      <c r="C74" s="13">
        <f>[1]Лист4!D217</f>
        <v>25</v>
      </c>
      <c r="D74" s="14">
        <f>[1]Лист4!F217</f>
        <v>0.44</v>
      </c>
      <c r="E74" s="15">
        <f t="shared" si="13"/>
        <v>11</v>
      </c>
      <c r="F74" s="15">
        <f t="shared" si="14"/>
        <v>3.6344000000000001E-2</v>
      </c>
      <c r="G74" s="16">
        <f t="shared" si="15"/>
        <v>0.93</v>
      </c>
      <c r="H74" s="16">
        <f t="shared" si="16"/>
        <v>2.76</v>
      </c>
      <c r="I74" s="16">
        <f t="shared" si="17"/>
        <v>3.19</v>
      </c>
      <c r="J74" s="16">
        <f t="shared" si="18"/>
        <v>2.7399999999999998</v>
      </c>
      <c r="K74" s="16">
        <f t="shared" si="19"/>
        <v>0</v>
      </c>
      <c r="L74" s="17"/>
      <c r="M74" s="16">
        <f t="shared" si="20"/>
        <v>0</v>
      </c>
      <c r="N74" s="17">
        <f t="shared" si="21"/>
        <v>0</v>
      </c>
      <c r="O74" s="17">
        <f t="shared" si="22"/>
        <v>0</v>
      </c>
      <c r="P74" s="18">
        <f t="shared" si="23"/>
        <v>23.25</v>
      </c>
      <c r="Q74" s="19">
        <f t="shared" si="24"/>
        <v>0</v>
      </c>
      <c r="R74" s="19">
        <f t="shared" si="25"/>
        <v>-23.25</v>
      </c>
      <c r="S74" s="20"/>
      <c r="T74" s="22" t="s">
        <v>80</v>
      </c>
    </row>
    <row r="75" spans="1:20" ht="15.75" x14ac:dyDescent="0.25">
      <c r="A75" s="11">
        <f>[1]Лист4!A236</f>
        <v>8</v>
      </c>
      <c r="B75" s="12" t="str">
        <f>[1]Лист4!C236</f>
        <v>FGGD08 Целозия зеленая</v>
      </c>
      <c r="C75" s="13">
        <f>[1]Лист4!D236</f>
        <v>20</v>
      </c>
      <c r="D75" s="14">
        <f>[1]Лист4!F236</f>
        <v>0.88</v>
      </c>
      <c r="E75" s="15">
        <f t="shared" si="13"/>
        <v>17.600000000000001</v>
      </c>
      <c r="F75" s="15">
        <f t="shared" si="14"/>
        <v>7.2688000000000003E-2</v>
      </c>
      <c r="G75" s="16">
        <f t="shared" si="15"/>
        <v>1.69</v>
      </c>
      <c r="H75" s="16">
        <f t="shared" si="16"/>
        <v>5.01</v>
      </c>
      <c r="I75" s="16">
        <f t="shared" si="17"/>
        <v>5.7799999999999994</v>
      </c>
      <c r="J75" s="16">
        <f t="shared" si="18"/>
        <v>4.97</v>
      </c>
      <c r="K75" s="16">
        <f t="shared" si="19"/>
        <v>0</v>
      </c>
      <c r="L75" s="17"/>
      <c r="M75" s="16">
        <f t="shared" si="20"/>
        <v>0</v>
      </c>
      <c r="N75" s="17">
        <f t="shared" si="21"/>
        <v>0</v>
      </c>
      <c r="O75" s="17">
        <f t="shared" si="22"/>
        <v>0</v>
      </c>
      <c r="P75" s="18">
        <f t="shared" si="23"/>
        <v>33.799999999999997</v>
      </c>
      <c r="Q75" s="19">
        <f t="shared" si="24"/>
        <v>0</v>
      </c>
      <c r="R75" s="19">
        <f t="shared" si="25"/>
        <v>-33.799999999999997</v>
      </c>
      <c r="S75" s="20"/>
      <c r="T75" s="22" t="s">
        <v>81</v>
      </c>
    </row>
    <row r="76" spans="1:20" ht="15.75" x14ac:dyDescent="0.25">
      <c r="A76" s="11">
        <f>[1]Лист4!A237</f>
        <v>8</v>
      </c>
      <c r="B76" s="12" t="str">
        <f>[1]Лист4!C237</f>
        <v>FGGD08 Целозия оранжевая</v>
      </c>
      <c r="C76" s="13">
        <f>[1]Лист4!D237</f>
        <v>10</v>
      </c>
      <c r="D76" s="14">
        <f>[1]Лист4!F237</f>
        <v>0.76</v>
      </c>
      <c r="E76" s="15">
        <f t="shared" si="13"/>
        <v>7.6</v>
      </c>
      <c r="F76" s="15">
        <f t="shared" si="14"/>
        <v>6.2775999999999998E-2</v>
      </c>
      <c r="G76" s="16">
        <f t="shared" si="15"/>
        <v>1.48</v>
      </c>
      <c r="H76" s="16">
        <f t="shared" si="16"/>
        <v>4.3899999999999997</v>
      </c>
      <c r="I76" s="16">
        <f t="shared" si="17"/>
        <v>5.0699999999999994</v>
      </c>
      <c r="J76" s="16">
        <f t="shared" si="18"/>
        <v>4.3499999999999996</v>
      </c>
      <c r="K76" s="16">
        <f t="shared" si="19"/>
        <v>0</v>
      </c>
      <c r="L76" s="17"/>
      <c r="M76" s="16">
        <f t="shared" si="20"/>
        <v>0</v>
      </c>
      <c r="N76" s="17">
        <f t="shared" si="21"/>
        <v>0</v>
      </c>
      <c r="O76" s="17">
        <f t="shared" si="22"/>
        <v>0</v>
      </c>
      <c r="P76" s="18">
        <f t="shared" si="23"/>
        <v>14.8</v>
      </c>
      <c r="Q76" s="19">
        <f t="shared" si="24"/>
        <v>0</v>
      </c>
      <c r="R76" s="19">
        <f t="shared" si="25"/>
        <v>-14.8</v>
      </c>
      <c r="S76" s="20"/>
      <c r="T76" s="22" t="s">
        <v>82</v>
      </c>
    </row>
    <row r="77" spans="1:20" ht="15.75" x14ac:dyDescent="0.25">
      <c r="A77" s="11">
        <f>[1]Лист4!A242</f>
        <v>8</v>
      </c>
      <c r="B77" s="12" t="str">
        <f>[1]Лист4!C242</f>
        <v>FGGD08 Эустома алиса белая</v>
      </c>
      <c r="C77" s="13">
        <f>[1]Лист4!D242</f>
        <v>20</v>
      </c>
      <c r="D77" s="14">
        <f>[1]Лист4!F242</f>
        <v>1.43</v>
      </c>
      <c r="E77" s="15">
        <f t="shared" si="13"/>
        <v>28.599999999999998</v>
      </c>
      <c r="F77" s="15">
        <f t="shared" si="14"/>
        <v>0.118118</v>
      </c>
      <c r="G77" s="16">
        <f t="shared" si="15"/>
        <v>2.64</v>
      </c>
      <c r="H77" s="16">
        <f t="shared" si="16"/>
        <v>7.83</v>
      </c>
      <c r="I77" s="16">
        <f t="shared" si="17"/>
        <v>9.0299999999999994</v>
      </c>
      <c r="J77" s="16">
        <f t="shared" si="18"/>
        <v>7.75</v>
      </c>
      <c r="K77" s="16">
        <f t="shared" si="19"/>
        <v>0</v>
      </c>
      <c r="L77" s="17"/>
      <c r="M77" s="16">
        <f t="shared" si="20"/>
        <v>0</v>
      </c>
      <c r="N77" s="17">
        <f t="shared" si="21"/>
        <v>0</v>
      </c>
      <c r="O77" s="17">
        <f t="shared" si="22"/>
        <v>0</v>
      </c>
      <c r="P77" s="18">
        <f t="shared" si="23"/>
        <v>52.800000000000004</v>
      </c>
      <c r="Q77" s="19">
        <f t="shared" si="24"/>
        <v>0</v>
      </c>
      <c r="R77" s="19">
        <f t="shared" si="25"/>
        <v>-52.800000000000004</v>
      </c>
      <c r="S77" s="20"/>
      <c r="T77" s="22" t="s">
        <v>83</v>
      </c>
    </row>
    <row r="78" spans="1:20" ht="15.75" x14ac:dyDescent="0.25">
      <c r="A78" s="11">
        <f>[1]Лист4!A255</f>
        <v>8</v>
      </c>
      <c r="B78" s="12" t="str">
        <f>[1]Лист4!C255</f>
        <v>FGGD09 Геликония</v>
      </c>
      <c r="C78" s="13">
        <f>[1]Лист4!D255</f>
        <v>20</v>
      </c>
      <c r="D78" s="14">
        <f>[1]Лист4!F255</f>
        <v>1.1000000000000001</v>
      </c>
      <c r="E78" s="15">
        <f t="shared" si="13"/>
        <v>22</v>
      </c>
      <c r="F78" s="15">
        <f t="shared" si="14"/>
        <v>9.086000000000001E-2</v>
      </c>
      <c r="G78" s="16">
        <f t="shared" si="15"/>
        <v>2.0699999999999998</v>
      </c>
      <c r="H78" s="16">
        <f t="shared" si="16"/>
        <v>6.14</v>
      </c>
      <c r="I78" s="16">
        <f t="shared" si="17"/>
        <v>7.08</v>
      </c>
      <c r="J78" s="16">
        <f t="shared" si="18"/>
        <v>6.08</v>
      </c>
      <c r="K78" s="16">
        <f t="shared" si="19"/>
        <v>0</v>
      </c>
      <c r="L78" s="17"/>
      <c r="M78" s="16">
        <f t="shared" si="20"/>
        <v>0</v>
      </c>
      <c r="N78" s="17">
        <f t="shared" si="21"/>
        <v>0</v>
      </c>
      <c r="O78" s="17">
        <f t="shared" si="22"/>
        <v>0</v>
      </c>
      <c r="P78" s="18">
        <f t="shared" si="23"/>
        <v>41.4</v>
      </c>
      <c r="Q78" s="19">
        <f t="shared" si="24"/>
        <v>0</v>
      </c>
      <c r="R78" s="19">
        <f t="shared" si="25"/>
        <v>-41.4</v>
      </c>
      <c r="S78" s="20"/>
      <c r="T78" s="22" t="s">
        <v>84</v>
      </c>
    </row>
    <row r="79" spans="1:20" ht="15.75" x14ac:dyDescent="0.25">
      <c r="A79" s="11">
        <f>[1]Лист4!A267</f>
        <v>8</v>
      </c>
      <c r="B79" s="12" t="str">
        <f>[1]Лист4!C267</f>
        <v>FGGD09 Пион Корал Сансет</v>
      </c>
      <c r="C79" s="13">
        <f>[1]Лист4!D267</f>
        <v>30</v>
      </c>
      <c r="D79" s="14">
        <f>[1]Лист4!F267</f>
        <v>1.26</v>
      </c>
      <c r="E79" s="15">
        <f t="shared" si="13"/>
        <v>37.799999999999997</v>
      </c>
      <c r="F79" s="15">
        <f t="shared" si="14"/>
        <v>0.104076</v>
      </c>
      <c r="G79" s="16">
        <f t="shared" si="15"/>
        <v>2.34</v>
      </c>
      <c r="H79" s="16">
        <f t="shared" si="16"/>
        <v>6.9399999999999995</v>
      </c>
      <c r="I79" s="16">
        <f t="shared" si="17"/>
        <v>8.01</v>
      </c>
      <c r="J79" s="16">
        <f t="shared" si="18"/>
        <v>6.87</v>
      </c>
      <c r="K79" s="16">
        <f t="shared" si="19"/>
        <v>0</v>
      </c>
      <c r="L79" s="17"/>
      <c r="M79" s="16">
        <f t="shared" si="20"/>
        <v>0</v>
      </c>
      <c r="N79" s="17">
        <f t="shared" si="21"/>
        <v>0</v>
      </c>
      <c r="O79" s="17">
        <f t="shared" si="22"/>
        <v>0</v>
      </c>
      <c r="P79" s="18">
        <f t="shared" si="23"/>
        <v>70.199999999999989</v>
      </c>
      <c r="Q79" s="19">
        <f t="shared" si="24"/>
        <v>0</v>
      </c>
      <c r="R79" s="19">
        <f t="shared" si="25"/>
        <v>-70.199999999999989</v>
      </c>
      <c r="S79" s="20"/>
      <c r="T79" s="22" t="s">
        <v>20</v>
      </c>
    </row>
    <row r="80" spans="1:20" ht="15.75" x14ac:dyDescent="0.25">
      <c r="A80" s="11">
        <f>[1]Лист4!A282</f>
        <v>8</v>
      </c>
      <c r="B80" s="12" t="str">
        <f>[1]Лист4!C282</f>
        <v>FGGD09 Танацетум</v>
      </c>
      <c r="C80" s="13">
        <f>[1]Лист4!D282</f>
        <v>25</v>
      </c>
      <c r="D80" s="14">
        <f>[1]Лист4!F282</f>
        <v>0.52</v>
      </c>
      <c r="E80" s="15">
        <f t="shared" si="13"/>
        <v>13</v>
      </c>
      <c r="F80" s="15">
        <f t="shared" si="14"/>
        <v>4.2952000000000004E-2</v>
      </c>
      <c r="G80" s="16">
        <f t="shared" si="15"/>
        <v>1.07</v>
      </c>
      <c r="H80" s="16">
        <f t="shared" si="16"/>
        <v>3.1799999999999997</v>
      </c>
      <c r="I80" s="16">
        <f t="shared" si="17"/>
        <v>3.6599999999999997</v>
      </c>
      <c r="J80" s="16">
        <f t="shared" si="18"/>
        <v>3.15</v>
      </c>
      <c r="K80" s="16">
        <f t="shared" si="19"/>
        <v>0</v>
      </c>
      <c r="L80" s="17"/>
      <c r="M80" s="16">
        <f t="shared" si="20"/>
        <v>0</v>
      </c>
      <c r="N80" s="17">
        <f t="shared" si="21"/>
        <v>0</v>
      </c>
      <c r="O80" s="17">
        <f t="shared" si="22"/>
        <v>0</v>
      </c>
      <c r="P80" s="18">
        <f t="shared" si="23"/>
        <v>26.75</v>
      </c>
      <c r="Q80" s="19">
        <f t="shared" si="24"/>
        <v>0</v>
      </c>
      <c r="R80" s="19">
        <f t="shared" si="25"/>
        <v>-26.75</v>
      </c>
      <c r="S80" s="20"/>
      <c r="T80" s="22" t="s">
        <v>85</v>
      </c>
    </row>
    <row r="81" spans="1:20" ht="15.75" x14ac:dyDescent="0.25">
      <c r="A81" s="11">
        <f>[1]Лист4!A233</f>
        <v>8</v>
      </c>
      <c r="B81" s="12" t="str">
        <f>[1]Лист4!C233</f>
        <v>FGGD11-14 Аллиум сиреневый</v>
      </c>
      <c r="C81" s="13">
        <f>[1]Лист4!D233</f>
        <v>120</v>
      </c>
      <c r="D81" s="14">
        <f>[1]Лист4!F233</f>
        <v>0.46</v>
      </c>
      <c r="E81" s="15">
        <f t="shared" si="13"/>
        <v>55.2</v>
      </c>
      <c r="F81" s="15">
        <f t="shared" si="14"/>
        <v>3.7996000000000002E-2</v>
      </c>
      <c r="G81" s="16">
        <f t="shared" si="15"/>
        <v>0.96</v>
      </c>
      <c r="H81" s="16">
        <f t="shared" si="16"/>
        <v>2.8499999999999996</v>
      </c>
      <c r="I81" s="16">
        <f t="shared" si="17"/>
        <v>3.2899999999999996</v>
      </c>
      <c r="J81" s="16">
        <f t="shared" si="18"/>
        <v>2.82</v>
      </c>
      <c r="K81" s="16">
        <f t="shared" si="19"/>
        <v>0</v>
      </c>
      <c r="L81" s="17"/>
      <c r="M81" s="16">
        <f t="shared" si="20"/>
        <v>0</v>
      </c>
      <c r="N81" s="17">
        <f t="shared" si="21"/>
        <v>0</v>
      </c>
      <c r="O81" s="17">
        <f t="shared" si="22"/>
        <v>0</v>
      </c>
      <c r="P81" s="18">
        <f t="shared" si="23"/>
        <v>115.19999999999999</v>
      </c>
      <c r="Q81" s="19">
        <f t="shared" si="24"/>
        <v>0</v>
      </c>
      <c r="R81" s="19">
        <f t="shared" si="25"/>
        <v>-115.19999999999999</v>
      </c>
      <c r="S81" s="20"/>
      <c r="T81" s="22" t="s">
        <v>86</v>
      </c>
    </row>
    <row r="82" spans="1:20" ht="15.75" x14ac:dyDescent="0.25">
      <c r="A82" s="11">
        <f>[1]Лист4!A234</f>
        <v>8</v>
      </c>
      <c r="B82" s="12" t="str">
        <f>[1]Лист4!C234</f>
        <v>FGGD11-14 Астильба красная</v>
      </c>
      <c r="C82" s="13">
        <f>[1]Лист4!D234</f>
        <v>70</v>
      </c>
      <c r="D82" s="14">
        <f>[1]Лист4!F234</f>
        <v>0.53</v>
      </c>
      <c r="E82" s="15">
        <f t="shared" si="13"/>
        <v>37.1</v>
      </c>
      <c r="F82" s="15">
        <f t="shared" si="14"/>
        <v>4.3778000000000004E-2</v>
      </c>
      <c r="G82" s="16">
        <f t="shared" si="15"/>
        <v>1.08</v>
      </c>
      <c r="H82" s="16">
        <f t="shared" si="16"/>
        <v>3.21</v>
      </c>
      <c r="I82" s="16">
        <f t="shared" si="17"/>
        <v>3.6999999999999997</v>
      </c>
      <c r="J82" s="16">
        <f t="shared" si="18"/>
        <v>3.1799999999999997</v>
      </c>
      <c r="K82" s="16">
        <f t="shared" si="19"/>
        <v>0</v>
      </c>
      <c r="L82" s="17"/>
      <c r="M82" s="16">
        <f t="shared" si="20"/>
        <v>0</v>
      </c>
      <c r="N82" s="17">
        <f t="shared" si="21"/>
        <v>0</v>
      </c>
      <c r="O82" s="17">
        <f t="shared" si="22"/>
        <v>0</v>
      </c>
      <c r="P82" s="18">
        <f t="shared" si="23"/>
        <v>75.600000000000009</v>
      </c>
      <c r="Q82" s="19">
        <f t="shared" si="24"/>
        <v>0</v>
      </c>
      <c r="R82" s="19">
        <f t="shared" si="25"/>
        <v>-75.600000000000009</v>
      </c>
      <c r="S82" s="20"/>
      <c r="T82" s="22" t="s">
        <v>87</v>
      </c>
    </row>
    <row r="83" spans="1:20" ht="15.75" x14ac:dyDescent="0.25">
      <c r="A83" s="11">
        <f>[1]Лист4!A287</f>
        <v>8</v>
      </c>
      <c r="B83" s="12" t="str">
        <f>[1]Лист4!C287</f>
        <v>FGGD11-14 Ванда синяя</v>
      </c>
      <c r="C83" s="13">
        <f>[1]Лист4!D287</f>
        <v>16</v>
      </c>
      <c r="D83" s="14">
        <f>[1]Лист4!F287</f>
        <v>0.71</v>
      </c>
      <c r="E83" s="15">
        <f t="shared" si="13"/>
        <v>11.36</v>
      </c>
      <c r="F83" s="15">
        <f t="shared" si="14"/>
        <v>5.8645999999999997E-2</v>
      </c>
      <c r="G83" s="16">
        <f t="shared" si="15"/>
        <v>1.39</v>
      </c>
      <c r="H83" s="16">
        <f t="shared" si="16"/>
        <v>4.12</v>
      </c>
      <c r="I83" s="16">
        <f t="shared" si="17"/>
        <v>4.76</v>
      </c>
      <c r="J83" s="16">
        <f t="shared" si="18"/>
        <v>4.09</v>
      </c>
      <c r="K83" s="16">
        <f t="shared" si="19"/>
        <v>0</v>
      </c>
      <c r="L83" s="17"/>
      <c r="M83" s="16">
        <f t="shared" si="20"/>
        <v>0</v>
      </c>
      <c r="N83" s="17">
        <f t="shared" si="21"/>
        <v>0</v>
      </c>
      <c r="O83" s="17">
        <f t="shared" si="22"/>
        <v>0</v>
      </c>
      <c r="P83" s="18">
        <f t="shared" si="23"/>
        <v>22.24</v>
      </c>
      <c r="Q83" s="19">
        <f t="shared" si="24"/>
        <v>0</v>
      </c>
      <c r="R83" s="19">
        <f t="shared" si="25"/>
        <v>-22.24</v>
      </c>
      <c r="S83" s="20"/>
      <c r="T83" s="22" t="s">
        <v>88</v>
      </c>
    </row>
    <row r="84" spans="1:20" ht="15.75" x14ac:dyDescent="0.25">
      <c r="A84" s="11">
        <f>[1]Лист4!A253</f>
        <v>8</v>
      </c>
      <c r="B84" s="12" t="str">
        <f>[1]Лист4!C253</f>
        <v>FGGD11-14 Гербера микс</v>
      </c>
      <c r="C84" s="13">
        <f>[1]Лист4!D253</f>
        <v>432</v>
      </c>
      <c r="D84" s="14">
        <f>[1]Лист4!F253</f>
        <v>0.34</v>
      </c>
      <c r="E84" s="15">
        <f t="shared" si="13"/>
        <v>146.88000000000002</v>
      </c>
      <c r="F84" s="15">
        <f t="shared" si="14"/>
        <v>2.8084000000000001E-2</v>
      </c>
      <c r="G84" s="16">
        <f t="shared" si="15"/>
        <v>0.76</v>
      </c>
      <c r="H84" s="16">
        <f t="shared" si="16"/>
        <v>2.2599999999999998</v>
      </c>
      <c r="I84" s="16">
        <f t="shared" si="17"/>
        <v>2.5999999999999996</v>
      </c>
      <c r="J84" s="16">
        <f t="shared" si="18"/>
        <v>2.2399999999999998</v>
      </c>
      <c r="K84" s="16">
        <f t="shared" si="19"/>
        <v>0</v>
      </c>
      <c r="L84" s="17"/>
      <c r="M84" s="16">
        <f t="shared" si="20"/>
        <v>0</v>
      </c>
      <c r="N84" s="17">
        <f t="shared" si="21"/>
        <v>0</v>
      </c>
      <c r="O84" s="17">
        <f t="shared" si="22"/>
        <v>0</v>
      </c>
      <c r="P84" s="18">
        <f t="shared" si="23"/>
        <v>328.32</v>
      </c>
      <c r="Q84" s="19">
        <f t="shared" si="24"/>
        <v>0</v>
      </c>
      <c r="R84" s="19">
        <f t="shared" si="25"/>
        <v>-328.32</v>
      </c>
      <c r="S84" s="20"/>
      <c r="T84" s="22" t="s">
        <v>89</v>
      </c>
    </row>
    <row r="85" spans="1:20" ht="15.75" x14ac:dyDescent="0.25">
      <c r="A85" s="11">
        <f>[1]Лист4!A257</f>
        <v>8</v>
      </c>
      <c r="B85" s="12" t="str">
        <f>[1]Лист4!C257</f>
        <v>FGGD11-14 Гортензия белая</v>
      </c>
      <c r="C85" s="13">
        <f>[1]Лист4!D257</f>
        <v>100</v>
      </c>
      <c r="D85" s="14">
        <f>[1]Лист4!F257</f>
        <v>4.3599999999999994</v>
      </c>
      <c r="E85" s="15">
        <f t="shared" si="13"/>
        <v>435.99999999999994</v>
      </c>
      <c r="F85" s="15">
        <f t="shared" si="14"/>
        <v>0.36013599999999996</v>
      </c>
      <c r="G85" s="16">
        <f t="shared" si="15"/>
        <v>7.7</v>
      </c>
      <c r="H85" s="16">
        <f t="shared" si="16"/>
        <v>22.830000000000002</v>
      </c>
      <c r="I85" s="16">
        <f t="shared" si="17"/>
        <v>26.34</v>
      </c>
      <c r="J85" s="16">
        <f t="shared" si="18"/>
        <v>22.610000000000003</v>
      </c>
      <c r="K85" s="16">
        <f t="shared" si="19"/>
        <v>0</v>
      </c>
      <c r="L85" s="17"/>
      <c r="M85" s="16">
        <f t="shared" si="20"/>
        <v>0</v>
      </c>
      <c r="N85" s="17">
        <f t="shared" si="21"/>
        <v>0</v>
      </c>
      <c r="O85" s="17">
        <f t="shared" si="22"/>
        <v>0</v>
      </c>
      <c r="P85" s="18">
        <f t="shared" si="23"/>
        <v>770</v>
      </c>
      <c r="Q85" s="19">
        <f t="shared" si="24"/>
        <v>0</v>
      </c>
      <c r="R85" s="19">
        <f t="shared" si="25"/>
        <v>-770</v>
      </c>
      <c r="S85" s="20"/>
      <c r="T85" s="22" t="s">
        <v>90</v>
      </c>
    </row>
    <row r="86" spans="1:20" ht="15.75" x14ac:dyDescent="0.25">
      <c r="A86" s="11">
        <f>[1]Лист4!A259</f>
        <v>8</v>
      </c>
      <c r="B86" s="12" t="str">
        <f>[1]Лист4!C259</f>
        <v>FGGD11-14 Ирис синий</v>
      </c>
      <c r="C86" s="13">
        <f>[1]Лист4!D259</f>
        <v>100</v>
      </c>
      <c r="D86" s="14">
        <f>[1]Лист4!F259</f>
        <v>0.22</v>
      </c>
      <c r="E86" s="15">
        <f t="shared" si="13"/>
        <v>22</v>
      </c>
      <c r="F86" s="15">
        <f t="shared" si="14"/>
        <v>1.8172000000000001E-2</v>
      </c>
      <c r="G86" s="16">
        <f t="shared" si="15"/>
        <v>0.55000000000000004</v>
      </c>
      <c r="H86" s="16">
        <f t="shared" si="16"/>
        <v>1.64</v>
      </c>
      <c r="I86" s="16">
        <f t="shared" si="17"/>
        <v>1.89</v>
      </c>
      <c r="J86" s="16">
        <f t="shared" si="18"/>
        <v>1.62</v>
      </c>
      <c r="K86" s="16">
        <f t="shared" si="19"/>
        <v>0</v>
      </c>
      <c r="L86" s="17"/>
      <c r="M86" s="16">
        <f t="shared" si="20"/>
        <v>0</v>
      </c>
      <c r="N86" s="17">
        <f t="shared" si="21"/>
        <v>0</v>
      </c>
      <c r="O86" s="17">
        <f t="shared" si="22"/>
        <v>0</v>
      </c>
      <c r="P86" s="18">
        <f t="shared" si="23"/>
        <v>55.000000000000007</v>
      </c>
      <c r="Q86" s="19">
        <f t="shared" si="24"/>
        <v>0</v>
      </c>
      <c r="R86" s="19">
        <f t="shared" si="25"/>
        <v>-55.000000000000007</v>
      </c>
      <c r="S86" s="20"/>
      <c r="T86" s="22" t="s">
        <v>91</v>
      </c>
    </row>
    <row r="87" spans="1:20" ht="15.75" x14ac:dyDescent="0.25">
      <c r="A87" s="11">
        <f>[1]Лист4!A232</f>
        <v>6</v>
      </c>
      <c r="B87" s="12" t="str">
        <f>[1]Лист4!C232</f>
        <v>FGGD11-14 Лилия белая</v>
      </c>
      <c r="C87" s="13">
        <f>[1]Лист4!D232</f>
        <v>70</v>
      </c>
      <c r="D87" s="14">
        <f>[1]Лист4!F232</f>
        <v>1.55</v>
      </c>
      <c r="E87" s="15">
        <f t="shared" si="13"/>
        <v>108.5</v>
      </c>
      <c r="F87" s="15">
        <f t="shared" si="14"/>
        <v>0.12803</v>
      </c>
      <c r="G87" s="16">
        <f t="shared" si="15"/>
        <v>2.85</v>
      </c>
      <c r="H87" s="16">
        <f t="shared" si="16"/>
        <v>8.4499999999999993</v>
      </c>
      <c r="I87" s="16">
        <f t="shared" si="17"/>
        <v>9.75</v>
      </c>
      <c r="J87" s="16">
        <f t="shared" si="18"/>
        <v>8.3699999999999992</v>
      </c>
      <c r="K87" s="16">
        <f t="shared" si="19"/>
        <v>0</v>
      </c>
      <c r="L87" s="17"/>
      <c r="M87" s="16">
        <f t="shared" si="20"/>
        <v>0</v>
      </c>
      <c r="N87" s="17">
        <f t="shared" si="21"/>
        <v>0</v>
      </c>
      <c r="O87" s="17">
        <f t="shared" si="22"/>
        <v>0</v>
      </c>
      <c r="P87" s="18">
        <f t="shared" si="23"/>
        <v>199.5</v>
      </c>
      <c r="Q87" s="19">
        <f t="shared" si="24"/>
        <v>0</v>
      </c>
      <c r="R87" s="19">
        <f t="shared" si="25"/>
        <v>-199.5</v>
      </c>
      <c r="S87" s="20"/>
      <c r="T87" s="22" t="s">
        <v>92</v>
      </c>
    </row>
    <row r="88" spans="1:20" ht="15.75" x14ac:dyDescent="0.25">
      <c r="A88" s="11">
        <f>[1]Лист4!A262</f>
        <v>8</v>
      </c>
      <c r="B88" s="12" t="str">
        <f>[1]Лист4!C262</f>
        <v>FGGD11-14 Матиола белая</v>
      </c>
      <c r="C88" s="13">
        <f>[1]Лист4!D262</f>
        <v>40</v>
      </c>
      <c r="D88" s="14">
        <f>[1]Лист4!F262</f>
        <v>0.79</v>
      </c>
      <c r="E88" s="15">
        <f t="shared" si="13"/>
        <v>31.6</v>
      </c>
      <c r="F88" s="15">
        <f t="shared" si="14"/>
        <v>6.5254000000000006E-2</v>
      </c>
      <c r="G88" s="16">
        <f t="shared" si="15"/>
        <v>1.53</v>
      </c>
      <c r="H88" s="16">
        <f t="shared" si="16"/>
        <v>4.54</v>
      </c>
      <c r="I88" s="16">
        <f t="shared" si="17"/>
        <v>5.24</v>
      </c>
      <c r="J88" s="16">
        <f t="shared" si="18"/>
        <v>4.5</v>
      </c>
      <c r="K88" s="16">
        <f t="shared" si="19"/>
        <v>0</v>
      </c>
      <c r="L88" s="17"/>
      <c r="M88" s="16">
        <f t="shared" si="20"/>
        <v>0</v>
      </c>
      <c r="N88" s="17">
        <f t="shared" si="21"/>
        <v>0</v>
      </c>
      <c r="O88" s="17">
        <f t="shared" si="22"/>
        <v>0</v>
      </c>
      <c r="P88" s="18">
        <f t="shared" si="23"/>
        <v>61.2</v>
      </c>
      <c r="Q88" s="19">
        <f t="shared" si="24"/>
        <v>0</v>
      </c>
      <c r="R88" s="19">
        <f t="shared" si="25"/>
        <v>-61.2</v>
      </c>
      <c r="S88" s="20"/>
      <c r="T88" s="22" t="s">
        <v>93</v>
      </c>
    </row>
    <row r="89" spans="1:20" ht="15.75" x14ac:dyDescent="0.25">
      <c r="A89" s="11">
        <f>[1]Лист4!A263</f>
        <v>8</v>
      </c>
      <c r="B89" s="12" t="str">
        <f>[1]Лист4!C263</f>
        <v>FGGD11-14 Матиола сиреневая</v>
      </c>
      <c r="C89" s="13">
        <f>[1]Лист4!D263</f>
        <v>40</v>
      </c>
      <c r="D89" s="14">
        <f>[1]Лист4!F263</f>
        <v>0.56000000000000005</v>
      </c>
      <c r="E89" s="15">
        <f t="shared" si="13"/>
        <v>22.400000000000002</v>
      </c>
      <c r="F89" s="15">
        <f t="shared" si="14"/>
        <v>4.6256000000000005E-2</v>
      </c>
      <c r="G89" s="16">
        <f t="shared" si="15"/>
        <v>1.1399999999999999</v>
      </c>
      <c r="H89" s="16">
        <f t="shared" si="16"/>
        <v>3.38</v>
      </c>
      <c r="I89" s="16">
        <f t="shared" si="17"/>
        <v>3.9</v>
      </c>
      <c r="J89" s="16">
        <f t="shared" si="18"/>
        <v>3.3499999999999996</v>
      </c>
      <c r="K89" s="16">
        <f t="shared" si="19"/>
        <v>0</v>
      </c>
      <c r="L89" s="17"/>
      <c r="M89" s="16">
        <f t="shared" si="20"/>
        <v>0</v>
      </c>
      <c r="N89" s="17">
        <f t="shared" si="21"/>
        <v>0</v>
      </c>
      <c r="O89" s="17">
        <f t="shared" si="22"/>
        <v>0</v>
      </c>
      <c r="P89" s="18">
        <f t="shared" si="23"/>
        <v>45.599999999999994</v>
      </c>
      <c r="Q89" s="19">
        <f t="shared" si="24"/>
        <v>0</v>
      </c>
      <c r="R89" s="19">
        <f t="shared" si="25"/>
        <v>-45.599999999999994</v>
      </c>
      <c r="S89" s="20"/>
      <c r="T89" s="22" t="s">
        <v>94</v>
      </c>
    </row>
    <row r="90" spans="1:20" ht="15.75" x14ac:dyDescent="0.25">
      <c r="A90" s="11">
        <f>[1]Лист4!A269</f>
        <v>8</v>
      </c>
      <c r="B90" s="12" t="str">
        <f>[1]Лист4!C269</f>
        <v>FGGD11-14 Пион Алертие</v>
      </c>
      <c r="C90" s="13">
        <f>[1]Лист4!D269</f>
        <v>140</v>
      </c>
      <c r="D90" s="14">
        <f>[1]Лист4!F269</f>
        <v>0.64</v>
      </c>
      <c r="E90" s="15">
        <f t="shared" si="13"/>
        <v>89.600000000000009</v>
      </c>
      <c r="F90" s="15">
        <f t="shared" si="14"/>
        <v>5.2864000000000001E-2</v>
      </c>
      <c r="G90" s="16">
        <f t="shared" si="15"/>
        <v>1.27</v>
      </c>
      <c r="H90" s="16">
        <f t="shared" si="16"/>
        <v>3.7699999999999996</v>
      </c>
      <c r="I90" s="16">
        <f t="shared" si="17"/>
        <v>4.3499999999999996</v>
      </c>
      <c r="J90" s="16">
        <f t="shared" si="18"/>
        <v>3.73</v>
      </c>
      <c r="K90" s="16">
        <f t="shared" si="19"/>
        <v>0</v>
      </c>
      <c r="L90" s="17"/>
      <c r="M90" s="16">
        <f t="shared" si="20"/>
        <v>0</v>
      </c>
      <c r="N90" s="17">
        <f t="shared" si="21"/>
        <v>0</v>
      </c>
      <c r="O90" s="17">
        <f t="shared" si="22"/>
        <v>0</v>
      </c>
      <c r="P90" s="18">
        <f t="shared" si="23"/>
        <v>177.8</v>
      </c>
      <c r="Q90" s="19">
        <f t="shared" si="24"/>
        <v>0</v>
      </c>
      <c r="R90" s="19">
        <f t="shared" si="25"/>
        <v>-177.8</v>
      </c>
      <c r="S90" s="20"/>
      <c r="T90" s="22" t="s">
        <v>17</v>
      </c>
    </row>
    <row r="91" spans="1:20" ht="15.75" x14ac:dyDescent="0.25">
      <c r="A91" s="11">
        <f>[1]Лист4!A270</f>
        <v>8</v>
      </c>
      <c r="B91" s="12" t="str">
        <f>[1]Лист4!C270</f>
        <v>FGGD11-14 Пион Боул оф Крем</v>
      </c>
      <c r="C91" s="13">
        <f>[1]Лист4!D270</f>
        <v>40</v>
      </c>
      <c r="D91" s="14">
        <f>[1]Лист4!F270</f>
        <v>1.89</v>
      </c>
      <c r="E91" s="15">
        <f t="shared" si="13"/>
        <v>75.599999999999994</v>
      </c>
      <c r="F91" s="15">
        <f t="shared" si="14"/>
        <v>0.156114</v>
      </c>
      <c r="G91" s="16">
        <f t="shared" si="15"/>
        <v>3.43</v>
      </c>
      <c r="H91" s="16">
        <f t="shared" si="16"/>
        <v>10.17</v>
      </c>
      <c r="I91" s="16">
        <f t="shared" si="17"/>
        <v>11.74</v>
      </c>
      <c r="J91" s="16">
        <f t="shared" si="18"/>
        <v>10.07</v>
      </c>
      <c r="K91" s="16">
        <f t="shared" si="19"/>
        <v>0</v>
      </c>
      <c r="L91" s="17"/>
      <c r="M91" s="16">
        <f t="shared" si="20"/>
        <v>0</v>
      </c>
      <c r="N91" s="17">
        <f t="shared" si="21"/>
        <v>0</v>
      </c>
      <c r="O91" s="17">
        <f t="shared" si="22"/>
        <v>0</v>
      </c>
      <c r="P91" s="18">
        <f t="shared" si="23"/>
        <v>137.20000000000002</v>
      </c>
      <c r="Q91" s="19">
        <f t="shared" si="24"/>
        <v>0</v>
      </c>
      <c r="R91" s="19">
        <f t="shared" si="25"/>
        <v>-137.20000000000002</v>
      </c>
      <c r="S91" s="20"/>
      <c r="T91" s="22" t="s">
        <v>95</v>
      </c>
    </row>
    <row r="92" spans="1:20" ht="15.75" x14ac:dyDescent="0.25">
      <c r="A92" s="11">
        <f>[1]Лист4!A268</f>
        <v>8</v>
      </c>
      <c r="B92" s="12" t="str">
        <f>[1]Лист4!C268</f>
        <v>FGGD11-14 Пион канзас</v>
      </c>
      <c r="C92" s="13">
        <f>[1]Лист4!D268</f>
        <v>90</v>
      </c>
      <c r="D92" s="14">
        <f>[1]Лист4!F268</f>
        <v>0.67</v>
      </c>
      <c r="E92" s="15">
        <f t="shared" si="13"/>
        <v>60.300000000000004</v>
      </c>
      <c r="F92" s="15">
        <f t="shared" si="14"/>
        <v>5.5342000000000002E-2</v>
      </c>
      <c r="G92" s="16">
        <f t="shared" si="15"/>
        <v>1.33</v>
      </c>
      <c r="H92" s="16">
        <f t="shared" si="16"/>
        <v>3.9499999999999997</v>
      </c>
      <c r="I92" s="16">
        <f t="shared" si="17"/>
        <v>4.55</v>
      </c>
      <c r="J92" s="16">
        <f t="shared" si="18"/>
        <v>3.9099999999999997</v>
      </c>
      <c r="K92" s="16">
        <f t="shared" si="19"/>
        <v>0</v>
      </c>
      <c r="L92" s="17"/>
      <c r="M92" s="16">
        <f t="shared" si="20"/>
        <v>0</v>
      </c>
      <c r="N92" s="17">
        <f t="shared" si="21"/>
        <v>0</v>
      </c>
      <c r="O92" s="17">
        <f t="shared" si="22"/>
        <v>0</v>
      </c>
      <c r="P92" s="18">
        <f t="shared" si="23"/>
        <v>119.7</v>
      </c>
      <c r="Q92" s="19">
        <f t="shared" si="24"/>
        <v>0</v>
      </c>
      <c r="R92" s="19">
        <f t="shared" si="25"/>
        <v>-119.7</v>
      </c>
      <c r="S92" s="20"/>
      <c r="T92" s="22" t="s">
        <v>96</v>
      </c>
    </row>
    <row r="93" spans="1:20" ht="15.75" x14ac:dyDescent="0.25">
      <c r="A93" s="11">
        <f>[1]Лист4!A272</f>
        <v>8</v>
      </c>
      <c r="B93" s="12" t="str">
        <f>[1]Лист4!C272</f>
        <v>FGGD11-14 Пион Мадам Клауд Тейн</v>
      </c>
      <c r="C93" s="13">
        <f>[1]Лист4!D272</f>
        <v>50</v>
      </c>
      <c r="D93" s="14">
        <f>[1]Лист4!F272</f>
        <v>2.15</v>
      </c>
      <c r="E93" s="15">
        <f t="shared" si="13"/>
        <v>107.5</v>
      </c>
      <c r="F93" s="15">
        <f t="shared" si="14"/>
        <v>0.17759</v>
      </c>
      <c r="G93" s="16">
        <f t="shared" si="15"/>
        <v>3.88</v>
      </c>
      <c r="H93" s="16">
        <f t="shared" si="16"/>
        <v>11.51</v>
      </c>
      <c r="I93" s="16">
        <f t="shared" si="17"/>
        <v>13.27</v>
      </c>
      <c r="J93" s="16">
        <f t="shared" si="18"/>
        <v>11.39</v>
      </c>
      <c r="K93" s="16">
        <f t="shared" si="19"/>
        <v>0</v>
      </c>
      <c r="L93" s="17"/>
      <c r="M93" s="16">
        <f t="shared" si="20"/>
        <v>0</v>
      </c>
      <c r="N93" s="17">
        <f t="shared" si="21"/>
        <v>0</v>
      </c>
      <c r="O93" s="17">
        <f t="shared" si="22"/>
        <v>0</v>
      </c>
      <c r="P93" s="18">
        <f t="shared" si="23"/>
        <v>194</v>
      </c>
      <c r="Q93" s="19">
        <f t="shared" si="24"/>
        <v>0</v>
      </c>
      <c r="R93" s="19">
        <f t="shared" si="25"/>
        <v>-194</v>
      </c>
      <c r="S93" s="20"/>
      <c r="T93" s="22" t="s">
        <v>97</v>
      </c>
    </row>
    <row r="94" spans="1:20" ht="15.75" x14ac:dyDescent="0.25">
      <c r="A94" s="11">
        <f>[1]Лист4!A275</f>
        <v>8</v>
      </c>
      <c r="B94" s="12" t="str">
        <f>[1]Лист4!C275</f>
        <v>FGGD11-14 Пион Ред Шарм</v>
      </c>
      <c r="C94" s="13">
        <f>[1]Лист4!D275</f>
        <v>20</v>
      </c>
      <c r="D94" s="14">
        <f>[1]Лист4!F275</f>
        <v>0.67</v>
      </c>
      <c r="E94" s="15">
        <f t="shared" si="13"/>
        <v>13.4</v>
      </c>
      <c r="F94" s="15">
        <f t="shared" si="14"/>
        <v>5.5342000000000002E-2</v>
      </c>
      <c r="G94" s="16">
        <f t="shared" si="15"/>
        <v>1.33</v>
      </c>
      <c r="H94" s="16">
        <f t="shared" si="16"/>
        <v>3.9499999999999997</v>
      </c>
      <c r="I94" s="16">
        <f t="shared" si="17"/>
        <v>4.55</v>
      </c>
      <c r="J94" s="16">
        <f t="shared" si="18"/>
        <v>3.9099999999999997</v>
      </c>
      <c r="K94" s="16">
        <f t="shared" si="19"/>
        <v>0</v>
      </c>
      <c r="L94" s="17"/>
      <c r="M94" s="16">
        <f t="shared" si="20"/>
        <v>0</v>
      </c>
      <c r="N94" s="17">
        <f t="shared" si="21"/>
        <v>0</v>
      </c>
      <c r="O94" s="17">
        <f t="shared" si="22"/>
        <v>0</v>
      </c>
      <c r="P94" s="18">
        <f t="shared" si="23"/>
        <v>26.6</v>
      </c>
      <c r="Q94" s="19">
        <f t="shared" si="24"/>
        <v>0</v>
      </c>
      <c r="R94" s="19">
        <f t="shared" si="25"/>
        <v>-26.6</v>
      </c>
      <c r="S94" s="20"/>
      <c r="T94" s="22" t="s">
        <v>98</v>
      </c>
    </row>
    <row r="95" spans="1:20" ht="15.75" x14ac:dyDescent="0.25">
      <c r="A95" s="11">
        <f>[1]Лист4!A276</f>
        <v>8</v>
      </c>
      <c r="B95" s="12" t="str">
        <f>[1]Лист4!C276</f>
        <v>FGGD11-14 Пион Сара Бернард</v>
      </c>
      <c r="C95" s="13">
        <f>[1]Лист4!D276</f>
        <v>50</v>
      </c>
      <c r="D95" s="14">
        <f>[1]Лист4!F276</f>
        <v>0.91</v>
      </c>
      <c r="E95" s="15">
        <f t="shared" si="13"/>
        <v>45.5</v>
      </c>
      <c r="F95" s="15">
        <f t="shared" si="14"/>
        <v>7.5166000000000011E-2</v>
      </c>
      <c r="G95" s="16">
        <f t="shared" si="15"/>
        <v>1.74</v>
      </c>
      <c r="H95" s="16">
        <f t="shared" si="16"/>
        <v>5.16</v>
      </c>
      <c r="I95" s="16">
        <f t="shared" si="17"/>
        <v>5.96</v>
      </c>
      <c r="J95" s="16">
        <f t="shared" si="18"/>
        <v>5.1099999999999994</v>
      </c>
      <c r="K95" s="16">
        <f t="shared" si="19"/>
        <v>0</v>
      </c>
      <c r="L95" s="17"/>
      <c r="M95" s="16">
        <f t="shared" si="20"/>
        <v>0</v>
      </c>
      <c r="N95" s="17">
        <f t="shared" si="21"/>
        <v>0</v>
      </c>
      <c r="O95" s="17">
        <f t="shared" si="22"/>
        <v>0</v>
      </c>
      <c r="P95" s="18">
        <f t="shared" si="23"/>
        <v>87</v>
      </c>
      <c r="Q95" s="19">
        <f t="shared" si="24"/>
        <v>0</v>
      </c>
      <c r="R95" s="19">
        <f t="shared" si="25"/>
        <v>-87</v>
      </c>
      <c r="S95" s="20"/>
      <c r="T95" s="22" t="s">
        <v>99</v>
      </c>
    </row>
    <row r="96" spans="1:20" ht="15.75" x14ac:dyDescent="0.25">
      <c r="A96" s="11">
        <f>[1]Лист4!A271</f>
        <v>8</v>
      </c>
      <c r="B96" s="12" t="str">
        <f>[1]Лист4!C271</f>
        <v>FGGD11-14 Пион Фонтайн</v>
      </c>
      <c r="C96" s="13">
        <f>[1]Лист4!D271</f>
        <v>40</v>
      </c>
      <c r="D96" s="14">
        <f>[1]Лист4!F271</f>
        <v>0.81</v>
      </c>
      <c r="E96" s="15">
        <f t="shared" si="13"/>
        <v>32.400000000000006</v>
      </c>
      <c r="F96" s="15">
        <f t="shared" si="14"/>
        <v>6.6906000000000007E-2</v>
      </c>
      <c r="G96" s="16">
        <f t="shared" si="15"/>
        <v>1.57</v>
      </c>
      <c r="H96" s="16">
        <f t="shared" si="16"/>
        <v>4.66</v>
      </c>
      <c r="I96" s="16">
        <f t="shared" si="17"/>
        <v>5.37</v>
      </c>
      <c r="J96" s="16">
        <f t="shared" si="18"/>
        <v>4.6099999999999994</v>
      </c>
      <c r="K96" s="16">
        <f t="shared" si="19"/>
        <v>0</v>
      </c>
      <c r="L96" s="17"/>
      <c r="M96" s="16">
        <f t="shared" si="20"/>
        <v>0</v>
      </c>
      <c r="N96" s="17">
        <f t="shared" si="21"/>
        <v>0</v>
      </c>
      <c r="O96" s="17">
        <f t="shared" si="22"/>
        <v>0</v>
      </c>
      <c r="P96" s="18">
        <f t="shared" si="23"/>
        <v>62.800000000000004</v>
      </c>
      <c r="Q96" s="19">
        <f t="shared" si="24"/>
        <v>0</v>
      </c>
      <c r="R96" s="19">
        <f t="shared" si="25"/>
        <v>-62.800000000000004</v>
      </c>
      <c r="S96" s="20"/>
      <c r="T96" s="22" t="s">
        <v>100</v>
      </c>
    </row>
    <row r="97" spans="1:20" ht="15.75" x14ac:dyDescent="0.25">
      <c r="A97" s="11">
        <f>[1]Лист4!A274</f>
        <v>8</v>
      </c>
      <c r="B97" s="12" t="str">
        <f>[1]Лист4!C274</f>
        <v>FGGD11-14 Пион Шерил Темплер</v>
      </c>
      <c r="C97" s="13">
        <f>[1]Лист4!D274</f>
        <v>50</v>
      </c>
      <c r="D97" s="14">
        <f>[1]Лист4!F274</f>
        <v>0.75</v>
      </c>
      <c r="E97" s="15">
        <f t="shared" si="13"/>
        <v>37.5</v>
      </c>
      <c r="F97" s="15">
        <f t="shared" si="14"/>
        <v>6.1950000000000005E-2</v>
      </c>
      <c r="G97" s="16">
        <f t="shared" si="15"/>
        <v>1.46</v>
      </c>
      <c r="H97" s="16">
        <f t="shared" si="16"/>
        <v>4.33</v>
      </c>
      <c r="I97" s="16">
        <f t="shared" si="17"/>
        <v>5</v>
      </c>
      <c r="J97" s="16">
        <f t="shared" si="18"/>
        <v>4.29</v>
      </c>
      <c r="K97" s="16">
        <f t="shared" si="19"/>
        <v>0</v>
      </c>
      <c r="L97" s="17"/>
      <c r="M97" s="16">
        <f t="shared" si="20"/>
        <v>0</v>
      </c>
      <c r="N97" s="17">
        <f t="shared" si="21"/>
        <v>0</v>
      </c>
      <c r="O97" s="17">
        <f t="shared" si="22"/>
        <v>0</v>
      </c>
      <c r="P97" s="18">
        <f t="shared" si="23"/>
        <v>73</v>
      </c>
      <c r="Q97" s="19">
        <f t="shared" si="24"/>
        <v>0</v>
      </c>
      <c r="R97" s="19">
        <f t="shared" si="25"/>
        <v>-73</v>
      </c>
      <c r="S97" s="20"/>
      <c r="T97" s="22" t="s">
        <v>101</v>
      </c>
    </row>
    <row r="98" spans="1:20" ht="15.75" x14ac:dyDescent="0.25">
      <c r="A98" s="11">
        <f>[1]Лист4!A210</f>
        <v>1</v>
      </c>
      <c r="B98" s="12" t="str">
        <f>[1]Лист4!C210</f>
        <v>FGGD11-14 Роза ветвистая Нотре Дам NL 70</v>
      </c>
      <c r="C98" s="13">
        <f>[1]Лист4!D210</f>
        <v>120</v>
      </c>
      <c r="D98" s="14">
        <f>[1]Лист4!F210</f>
        <v>2.19</v>
      </c>
      <c r="E98" s="15">
        <f t="shared" si="13"/>
        <v>262.8</v>
      </c>
      <c r="F98" s="15">
        <f t="shared" si="14"/>
        <v>0.180894</v>
      </c>
      <c r="G98" s="16">
        <f t="shared" si="15"/>
        <v>3.95</v>
      </c>
      <c r="H98" s="16">
        <f t="shared" si="16"/>
        <v>11.709999999999999</v>
      </c>
      <c r="I98" s="16">
        <f t="shared" si="17"/>
        <v>13.51</v>
      </c>
      <c r="J98" s="16">
        <f t="shared" si="18"/>
        <v>11.6</v>
      </c>
      <c r="K98" s="16">
        <f t="shared" si="19"/>
        <v>0</v>
      </c>
      <c r="L98" s="17"/>
      <c r="M98" s="16">
        <f t="shared" si="20"/>
        <v>0</v>
      </c>
      <c r="N98" s="17">
        <f t="shared" si="21"/>
        <v>0</v>
      </c>
      <c r="O98" s="17">
        <f t="shared" si="22"/>
        <v>0</v>
      </c>
      <c r="P98" s="18">
        <f t="shared" si="23"/>
        <v>474</v>
      </c>
      <c r="Q98" s="19">
        <f t="shared" si="24"/>
        <v>0</v>
      </c>
      <c r="R98" s="19">
        <f t="shared" si="25"/>
        <v>-474</v>
      </c>
      <c r="S98" s="20"/>
      <c r="T98" s="22" t="s">
        <v>102</v>
      </c>
    </row>
    <row r="99" spans="1:20" ht="15.75" x14ac:dyDescent="0.25">
      <c r="A99" s="11">
        <f>[1]Лист4!A211</f>
        <v>1</v>
      </c>
      <c r="B99" s="12" t="str">
        <f>[1]Лист4!C211</f>
        <v>FGGD11-14 Роза ветвистая Роял Блаш NL 70</v>
      </c>
      <c r="C99" s="13">
        <f>[1]Лист4!D211</f>
        <v>20</v>
      </c>
      <c r="D99" s="14">
        <f>[1]Лист4!F211</f>
        <v>3.02</v>
      </c>
      <c r="E99" s="15">
        <f t="shared" si="13"/>
        <v>60.4</v>
      </c>
      <c r="F99" s="15">
        <f t="shared" si="14"/>
        <v>0.24945200000000001</v>
      </c>
      <c r="G99" s="16">
        <f t="shared" si="15"/>
        <v>5.39</v>
      </c>
      <c r="H99" s="16">
        <f t="shared" si="16"/>
        <v>15.98</v>
      </c>
      <c r="I99" s="16">
        <f t="shared" si="17"/>
        <v>18.440000000000001</v>
      </c>
      <c r="J99" s="16">
        <f t="shared" si="18"/>
        <v>15.83</v>
      </c>
      <c r="K99" s="16">
        <f t="shared" si="19"/>
        <v>0</v>
      </c>
      <c r="L99" s="17"/>
      <c r="M99" s="16">
        <f t="shared" si="20"/>
        <v>0</v>
      </c>
      <c r="N99" s="17">
        <f t="shared" si="21"/>
        <v>0</v>
      </c>
      <c r="O99" s="17">
        <f t="shared" si="22"/>
        <v>0</v>
      </c>
      <c r="P99" s="18">
        <f t="shared" si="23"/>
        <v>107.8</v>
      </c>
      <c r="Q99" s="19">
        <f t="shared" si="24"/>
        <v>0</v>
      </c>
      <c r="R99" s="19">
        <f t="shared" si="25"/>
        <v>-107.8</v>
      </c>
      <c r="S99" s="20"/>
      <c r="T99" s="22" t="s">
        <v>40</v>
      </c>
    </row>
    <row r="100" spans="1:20" ht="15.75" x14ac:dyDescent="0.25">
      <c r="A100" s="11">
        <f>[1]Лист4!A202</f>
        <v>1</v>
      </c>
      <c r="B100" s="12" t="str">
        <f>[1]Лист4!C202</f>
        <v>FGGD11-14 Роза дэвид аустин Евгений 50</v>
      </c>
      <c r="C100" s="13">
        <f>[1]Лист4!D202</f>
        <v>12</v>
      </c>
      <c r="D100" s="14">
        <f>[1]Лист4!F202</f>
        <v>2.71</v>
      </c>
      <c r="E100" s="15">
        <f t="shared" si="13"/>
        <v>32.519999999999996</v>
      </c>
      <c r="F100" s="15">
        <f t="shared" si="14"/>
        <v>0.22384600000000002</v>
      </c>
      <c r="G100" s="16">
        <f t="shared" si="15"/>
        <v>4.8499999999999996</v>
      </c>
      <c r="H100" s="16">
        <f t="shared" si="16"/>
        <v>14.379999999999999</v>
      </c>
      <c r="I100" s="16">
        <f t="shared" si="17"/>
        <v>16.59</v>
      </c>
      <c r="J100" s="16">
        <f t="shared" si="18"/>
        <v>14.24</v>
      </c>
      <c r="K100" s="16">
        <f t="shared" si="19"/>
        <v>0</v>
      </c>
      <c r="L100" s="17"/>
      <c r="M100" s="16">
        <f t="shared" si="20"/>
        <v>0</v>
      </c>
      <c r="N100" s="17">
        <f t="shared" si="21"/>
        <v>0</v>
      </c>
      <c r="O100" s="17">
        <f t="shared" si="22"/>
        <v>0</v>
      </c>
      <c r="P100" s="18">
        <f t="shared" si="23"/>
        <v>58.199999999999996</v>
      </c>
      <c r="Q100" s="19">
        <f t="shared" si="24"/>
        <v>0</v>
      </c>
      <c r="R100" s="19">
        <f t="shared" si="25"/>
        <v>-58.199999999999996</v>
      </c>
      <c r="S100" s="20"/>
      <c r="T100" s="22" t="s">
        <v>103</v>
      </c>
    </row>
    <row r="101" spans="1:20" ht="15.75" x14ac:dyDescent="0.25">
      <c r="A101" s="11">
        <f>[1]Лист4!A201</f>
        <v>1</v>
      </c>
      <c r="B101" s="12" t="str">
        <f>[1]Лист4!C201</f>
        <v>FGGD11-14 Роза дэвид аустин шарити 50</v>
      </c>
      <c r="C101" s="13">
        <f>[1]Лист4!D201</f>
        <v>48</v>
      </c>
      <c r="D101" s="14">
        <f>[1]Лист4!F201</f>
        <v>2.65</v>
      </c>
      <c r="E101" s="15">
        <f t="shared" si="13"/>
        <v>127.19999999999999</v>
      </c>
      <c r="F101" s="15">
        <f t="shared" si="14"/>
        <v>0.21889</v>
      </c>
      <c r="G101" s="16">
        <f t="shared" si="15"/>
        <v>4.75</v>
      </c>
      <c r="H101" s="16">
        <f t="shared" si="16"/>
        <v>14.08</v>
      </c>
      <c r="I101" s="16">
        <f t="shared" si="17"/>
        <v>16.25</v>
      </c>
      <c r="J101" s="16">
        <f t="shared" si="18"/>
        <v>13.95</v>
      </c>
      <c r="K101" s="16">
        <f t="shared" si="19"/>
        <v>0</v>
      </c>
      <c r="L101" s="17"/>
      <c r="M101" s="16">
        <f t="shared" si="20"/>
        <v>0</v>
      </c>
      <c r="N101" s="17">
        <f t="shared" si="21"/>
        <v>0</v>
      </c>
      <c r="O101" s="17">
        <f t="shared" si="22"/>
        <v>0</v>
      </c>
      <c r="P101" s="18">
        <f t="shared" si="23"/>
        <v>228</v>
      </c>
      <c r="Q101" s="19">
        <f t="shared" si="24"/>
        <v>0</v>
      </c>
      <c r="R101" s="19">
        <f t="shared" si="25"/>
        <v>-228</v>
      </c>
      <c r="S101" s="20"/>
      <c r="T101" s="22" t="s">
        <v>104</v>
      </c>
    </row>
    <row r="102" spans="1:20" ht="15.75" x14ac:dyDescent="0.25">
      <c r="A102" s="11">
        <f>[1]Лист4!A208</f>
        <v>1</v>
      </c>
      <c r="B102" s="12" t="str">
        <f>[1]Лист4!C208</f>
        <v>FGGD11-14 Роза Квиксэнд NL 70</v>
      </c>
      <c r="C102" s="13">
        <f>[1]Лист4!D208</f>
        <v>75</v>
      </c>
      <c r="D102" s="14">
        <f>[1]Лист4!F208</f>
        <v>1.4</v>
      </c>
      <c r="E102" s="15">
        <f t="shared" si="13"/>
        <v>105</v>
      </c>
      <c r="F102" s="15">
        <f t="shared" si="14"/>
        <v>0.11564000000000001</v>
      </c>
      <c r="G102" s="16">
        <f t="shared" si="15"/>
        <v>2.59</v>
      </c>
      <c r="H102" s="16">
        <f t="shared" si="16"/>
        <v>7.68</v>
      </c>
      <c r="I102" s="16">
        <f t="shared" si="17"/>
        <v>8.86</v>
      </c>
      <c r="J102" s="16">
        <f t="shared" si="18"/>
        <v>7.6099999999999994</v>
      </c>
      <c r="K102" s="16">
        <f t="shared" si="19"/>
        <v>0</v>
      </c>
      <c r="L102" s="17"/>
      <c r="M102" s="16">
        <f t="shared" si="20"/>
        <v>0</v>
      </c>
      <c r="N102" s="17">
        <f t="shared" si="21"/>
        <v>0</v>
      </c>
      <c r="O102" s="17">
        <f t="shared" si="22"/>
        <v>0</v>
      </c>
      <c r="P102" s="18">
        <f t="shared" si="23"/>
        <v>194.25</v>
      </c>
      <c r="Q102" s="19">
        <f t="shared" si="24"/>
        <v>0</v>
      </c>
      <c r="R102" s="19">
        <f t="shared" si="25"/>
        <v>-194.25</v>
      </c>
      <c r="S102" s="20"/>
      <c r="T102" s="22" t="s">
        <v>43</v>
      </c>
    </row>
    <row r="103" spans="1:20" ht="15.75" x14ac:dyDescent="0.25">
      <c r="A103" s="11">
        <f>[1]Лист4!A204</f>
        <v>1</v>
      </c>
      <c r="B103" s="12" t="str">
        <f>[1]Лист4!C204</f>
        <v>FGGD11-14 Роза кэнделайт 60</v>
      </c>
      <c r="C103" s="13">
        <f>[1]Лист4!D204</f>
        <v>25</v>
      </c>
      <c r="D103" s="14">
        <f>[1]Лист4!F204</f>
        <v>1.35</v>
      </c>
      <c r="E103" s="15">
        <f t="shared" si="13"/>
        <v>33.75</v>
      </c>
      <c r="F103" s="15">
        <f t="shared" si="14"/>
        <v>0.11151000000000001</v>
      </c>
      <c r="G103" s="16">
        <f t="shared" si="15"/>
        <v>2.5</v>
      </c>
      <c r="H103" s="16">
        <f t="shared" si="16"/>
        <v>7.41</v>
      </c>
      <c r="I103" s="16">
        <f t="shared" si="17"/>
        <v>8.5500000000000007</v>
      </c>
      <c r="J103" s="16">
        <f t="shared" si="18"/>
        <v>7.34</v>
      </c>
      <c r="K103" s="16">
        <f t="shared" si="19"/>
        <v>0</v>
      </c>
      <c r="L103" s="17"/>
      <c r="M103" s="16">
        <f t="shared" si="20"/>
        <v>0</v>
      </c>
      <c r="N103" s="17">
        <f t="shared" si="21"/>
        <v>0</v>
      </c>
      <c r="O103" s="17">
        <f t="shared" si="22"/>
        <v>0</v>
      </c>
      <c r="P103" s="18">
        <f t="shared" si="23"/>
        <v>62.5</v>
      </c>
      <c r="Q103" s="19">
        <f t="shared" si="24"/>
        <v>0</v>
      </c>
      <c r="R103" s="19">
        <f t="shared" si="25"/>
        <v>-62.5</v>
      </c>
      <c r="S103" s="20"/>
      <c r="T103" s="22" t="s">
        <v>105</v>
      </c>
    </row>
    <row r="104" spans="1:20" ht="15.75" x14ac:dyDescent="0.25">
      <c r="A104" s="11">
        <f>[1]Лист4!A203</f>
        <v>1</v>
      </c>
      <c r="B104" s="12" t="str">
        <f>[1]Лист4!C203</f>
        <v>FGGD11-14 Роза принцесс мая 50</v>
      </c>
      <c r="C104" s="13">
        <f>[1]Лист4!D203</f>
        <v>12</v>
      </c>
      <c r="D104" s="14">
        <f>[1]Лист4!F203</f>
        <v>1.75</v>
      </c>
      <c r="E104" s="15">
        <f t="shared" si="13"/>
        <v>21</v>
      </c>
      <c r="F104" s="15">
        <f t="shared" si="14"/>
        <v>0.14455000000000001</v>
      </c>
      <c r="G104" s="16">
        <f t="shared" si="15"/>
        <v>3.19</v>
      </c>
      <c r="H104" s="16">
        <f t="shared" si="16"/>
        <v>9.4599999999999991</v>
      </c>
      <c r="I104" s="16">
        <f t="shared" si="17"/>
        <v>10.91</v>
      </c>
      <c r="J104" s="16">
        <f t="shared" si="18"/>
        <v>9.3699999999999992</v>
      </c>
      <c r="K104" s="16">
        <f t="shared" si="19"/>
        <v>0</v>
      </c>
      <c r="L104" s="17"/>
      <c r="M104" s="16">
        <f t="shared" si="20"/>
        <v>0</v>
      </c>
      <c r="N104" s="17">
        <f t="shared" si="21"/>
        <v>0</v>
      </c>
      <c r="O104" s="17">
        <f t="shared" si="22"/>
        <v>0</v>
      </c>
      <c r="P104" s="18">
        <f t="shared" si="23"/>
        <v>38.28</v>
      </c>
      <c r="Q104" s="19">
        <f t="shared" si="24"/>
        <v>0</v>
      </c>
      <c r="R104" s="19">
        <f t="shared" si="25"/>
        <v>-38.28</v>
      </c>
      <c r="S104" s="20"/>
      <c r="T104" s="22" t="s">
        <v>106</v>
      </c>
    </row>
    <row r="105" spans="1:20" ht="15.75" x14ac:dyDescent="0.25">
      <c r="A105" s="11">
        <f>[1]Лист4!A283</f>
        <v>8</v>
      </c>
      <c r="B105" s="12" t="str">
        <f>[1]Лист4!C283</f>
        <v>FGGD11-14 Танацетум</v>
      </c>
      <c r="C105" s="13">
        <f>[1]Лист4!D283</f>
        <v>100</v>
      </c>
      <c r="D105" s="14">
        <f>[1]Лист4!F283</f>
        <v>0.56000000000000005</v>
      </c>
      <c r="E105" s="15">
        <f t="shared" si="13"/>
        <v>56.000000000000007</v>
      </c>
      <c r="F105" s="15">
        <f t="shared" si="14"/>
        <v>4.6256000000000005E-2</v>
      </c>
      <c r="G105" s="16">
        <f t="shared" si="15"/>
        <v>1.1399999999999999</v>
      </c>
      <c r="H105" s="16">
        <f t="shared" si="16"/>
        <v>3.38</v>
      </c>
      <c r="I105" s="16">
        <f t="shared" si="17"/>
        <v>3.9</v>
      </c>
      <c r="J105" s="16">
        <f t="shared" si="18"/>
        <v>3.3499999999999996</v>
      </c>
      <c r="K105" s="16">
        <f t="shared" si="19"/>
        <v>0</v>
      </c>
      <c r="L105" s="17"/>
      <c r="M105" s="16">
        <f t="shared" si="20"/>
        <v>0</v>
      </c>
      <c r="N105" s="17">
        <f t="shared" si="21"/>
        <v>0</v>
      </c>
      <c r="O105" s="17">
        <f t="shared" si="22"/>
        <v>0</v>
      </c>
      <c r="P105" s="18">
        <f t="shared" si="23"/>
        <v>113.99999999999999</v>
      </c>
      <c r="Q105" s="19">
        <f t="shared" si="24"/>
        <v>0</v>
      </c>
      <c r="R105" s="19">
        <f t="shared" si="25"/>
        <v>-113.99999999999999</v>
      </c>
      <c r="S105" s="20"/>
      <c r="T105" s="22" t="s">
        <v>85</v>
      </c>
    </row>
    <row r="106" spans="1:20" ht="15.75" x14ac:dyDescent="0.25">
      <c r="A106" s="11">
        <f>[1]Лист4!A284</f>
        <v>8</v>
      </c>
      <c r="B106" s="12" t="str">
        <f>[1]Лист4!C284</f>
        <v>FGGD11-14 Тюльпан Адор</v>
      </c>
      <c r="C106" s="13">
        <f>[1]Лист4!D284</f>
        <v>50</v>
      </c>
      <c r="D106" s="14">
        <f>[1]Лист4!F284</f>
        <v>0.34</v>
      </c>
      <c r="E106" s="15">
        <f t="shared" si="13"/>
        <v>17</v>
      </c>
      <c r="F106" s="15">
        <f t="shared" si="14"/>
        <v>2.8084000000000001E-2</v>
      </c>
      <c r="G106" s="16">
        <f t="shared" si="15"/>
        <v>0.76</v>
      </c>
      <c r="H106" s="16">
        <f t="shared" si="16"/>
        <v>2.2599999999999998</v>
      </c>
      <c r="I106" s="16">
        <f t="shared" si="17"/>
        <v>2.5999999999999996</v>
      </c>
      <c r="J106" s="16">
        <f t="shared" si="18"/>
        <v>2.2399999999999998</v>
      </c>
      <c r="K106" s="16">
        <f t="shared" si="19"/>
        <v>0</v>
      </c>
      <c r="L106" s="17"/>
      <c r="M106" s="16">
        <f t="shared" si="20"/>
        <v>0</v>
      </c>
      <c r="N106" s="17">
        <f t="shared" si="21"/>
        <v>0</v>
      </c>
      <c r="O106" s="17">
        <f t="shared" si="22"/>
        <v>0</v>
      </c>
      <c r="P106" s="18">
        <f t="shared" si="23"/>
        <v>38</v>
      </c>
      <c r="Q106" s="19">
        <f t="shared" si="24"/>
        <v>0</v>
      </c>
      <c r="R106" s="19">
        <f t="shared" si="25"/>
        <v>-38</v>
      </c>
      <c r="S106" s="20"/>
      <c r="T106" s="22" t="s">
        <v>107</v>
      </c>
    </row>
    <row r="107" spans="1:20" ht="15.75" x14ac:dyDescent="0.25">
      <c r="A107" s="11">
        <f>[1]Лист4!A285</f>
        <v>8</v>
      </c>
      <c r="B107" s="12" t="str">
        <f>[1]Лист4!C285</f>
        <v>FGGD11-14 Тюльпан Валдивия</v>
      </c>
      <c r="C107" s="13">
        <f>[1]Лист4!D285</f>
        <v>50</v>
      </c>
      <c r="D107" s="14">
        <f>[1]Лист4!F285</f>
        <v>0.38</v>
      </c>
      <c r="E107" s="15">
        <f t="shared" si="13"/>
        <v>19</v>
      </c>
      <c r="F107" s="15">
        <f t="shared" si="14"/>
        <v>3.1387999999999999E-2</v>
      </c>
      <c r="G107" s="16">
        <f t="shared" si="15"/>
        <v>0.82</v>
      </c>
      <c r="H107" s="16">
        <f t="shared" si="16"/>
        <v>2.44</v>
      </c>
      <c r="I107" s="16">
        <f t="shared" si="17"/>
        <v>2.8099999999999996</v>
      </c>
      <c r="J107" s="16">
        <f t="shared" si="18"/>
        <v>2.4099999999999997</v>
      </c>
      <c r="K107" s="16">
        <f t="shared" si="19"/>
        <v>0</v>
      </c>
      <c r="L107" s="17"/>
      <c r="M107" s="16">
        <f t="shared" si="20"/>
        <v>0</v>
      </c>
      <c r="N107" s="17">
        <f t="shared" si="21"/>
        <v>0</v>
      </c>
      <c r="O107" s="17">
        <f t="shared" si="22"/>
        <v>0</v>
      </c>
      <c r="P107" s="18">
        <f t="shared" si="23"/>
        <v>41</v>
      </c>
      <c r="Q107" s="19">
        <f t="shared" si="24"/>
        <v>0</v>
      </c>
      <c r="R107" s="19">
        <f t="shared" si="25"/>
        <v>-41</v>
      </c>
      <c r="S107" s="20"/>
      <c r="T107" s="22" t="s">
        <v>108</v>
      </c>
    </row>
    <row r="108" spans="1:20" ht="15.75" x14ac:dyDescent="0.25">
      <c r="A108" s="11">
        <f>[1]Лист4!A286</f>
        <v>8</v>
      </c>
      <c r="B108" s="12" t="str">
        <f>[1]Лист4!C286</f>
        <v>FGGD11-14 Тюльпан викинг</v>
      </c>
      <c r="C108" s="13">
        <f>[1]Лист4!D286</f>
        <v>50</v>
      </c>
      <c r="D108" s="14">
        <f>[1]Лист4!F286</f>
        <v>0.31</v>
      </c>
      <c r="E108" s="15">
        <f t="shared" si="13"/>
        <v>15.5</v>
      </c>
      <c r="F108" s="15">
        <f t="shared" si="14"/>
        <v>2.5606E-2</v>
      </c>
      <c r="G108" s="16">
        <f t="shared" si="15"/>
        <v>0.7</v>
      </c>
      <c r="H108" s="16">
        <f t="shared" si="16"/>
        <v>2.0799999999999996</v>
      </c>
      <c r="I108" s="16">
        <f t="shared" si="17"/>
        <v>2.4</v>
      </c>
      <c r="J108" s="16">
        <f t="shared" si="18"/>
        <v>2.0599999999999996</v>
      </c>
      <c r="K108" s="16">
        <f t="shared" si="19"/>
        <v>0</v>
      </c>
      <c r="L108" s="17"/>
      <c r="M108" s="16">
        <f t="shared" si="20"/>
        <v>0</v>
      </c>
      <c r="N108" s="17">
        <f t="shared" si="21"/>
        <v>0</v>
      </c>
      <c r="O108" s="17">
        <f t="shared" si="22"/>
        <v>0</v>
      </c>
      <c r="P108" s="18">
        <f t="shared" si="23"/>
        <v>35</v>
      </c>
      <c r="Q108" s="19">
        <f t="shared" si="24"/>
        <v>0</v>
      </c>
      <c r="R108" s="19">
        <f t="shared" si="25"/>
        <v>-35</v>
      </c>
      <c r="S108" s="20"/>
      <c r="T108" s="22" t="s">
        <v>109</v>
      </c>
    </row>
    <row r="109" spans="1:20" ht="15.75" x14ac:dyDescent="0.25">
      <c r="A109" s="11">
        <f>[1]Лист4!A230</f>
        <v>4</v>
      </c>
      <c r="B109" s="12" t="str">
        <f>[1]Лист4!C230</f>
        <v>FGGD11-14 Фалеонопсис белый</v>
      </c>
      <c r="C109" s="13">
        <f>[1]Лист4!D230</f>
        <v>72</v>
      </c>
      <c r="D109" s="14">
        <f>[1]Лист4!F230</f>
        <v>9.07</v>
      </c>
      <c r="E109" s="15">
        <f t="shared" si="13"/>
        <v>653.04</v>
      </c>
      <c r="F109" s="15">
        <f t="shared" si="14"/>
        <v>0.74918200000000013</v>
      </c>
      <c r="G109" s="16">
        <f t="shared" si="15"/>
        <v>15.84</v>
      </c>
      <c r="H109" s="16">
        <f t="shared" si="16"/>
        <v>46.949999999999996</v>
      </c>
      <c r="I109" s="16">
        <f t="shared" si="17"/>
        <v>54.18</v>
      </c>
      <c r="J109" s="16">
        <f t="shared" si="18"/>
        <v>46.5</v>
      </c>
      <c r="K109" s="16">
        <f t="shared" si="19"/>
        <v>0</v>
      </c>
      <c r="L109" s="17"/>
      <c r="M109" s="16">
        <f t="shared" si="20"/>
        <v>0</v>
      </c>
      <c r="N109" s="17">
        <f t="shared" si="21"/>
        <v>0</v>
      </c>
      <c r="O109" s="17">
        <f t="shared" si="22"/>
        <v>0</v>
      </c>
      <c r="P109" s="18">
        <f t="shared" si="23"/>
        <v>1140.48</v>
      </c>
      <c r="Q109" s="19">
        <f t="shared" si="24"/>
        <v>0</v>
      </c>
      <c r="R109" s="19">
        <f t="shared" si="25"/>
        <v>-1140.48</v>
      </c>
      <c r="S109" s="20"/>
      <c r="T109" s="22" t="s">
        <v>110</v>
      </c>
    </row>
    <row r="110" spans="1:20" ht="15.75" x14ac:dyDescent="0.25">
      <c r="A110" s="11">
        <f>[1]Лист4!A252</f>
        <v>8</v>
      </c>
      <c r="B110" s="12" t="str">
        <f>[1]Лист4!C252</f>
        <v>FGGD11-14 Фрезия белая</v>
      </c>
      <c r="C110" s="13">
        <f>[1]Лист4!D252</f>
        <v>100</v>
      </c>
      <c r="D110" s="14">
        <f>[1]Лист4!F252</f>
        <v>0.46</v>
      </c>
      <c r="E110" s="15">
        <f t="shared" si="13"/>
        <v>46</v>
      </c>
      <c r="F110" s="15">
        <f t="shared" si="14"/>
        <v>3.7996000000000002E-2</v>
      </c>
      <c r="G110" s="16">
        <f t="shared" si="15"/>
        <v>0.96</v>
      </c>
      <c r="H110" s="16">
        <f t="shared" si="16"/>
        <v>2.8499999999999996</v>
      </c>
      <c r="I110" s="16">
        <f t="shared" si="17"/>
        <v>3.2899999999999996</v>
      </c>
      <c r="J110" s="16">
        <f t="shared" si="18"/>
        <v>2.82</v>
      </c>
      <c r="K110" s="16">
        <f t="shared" si="19"/>
        <v>0</v>
      </c>
      <c r="L110" s="17"/>
      <c r="M110" s="16">
        <f t="shared" si="20"/>
        <v>0</v>
      </c>
      <c r="N110" s="17">
        <f t="shared" si="21"/>
        <v>0</v>
      </c>
      <c r="O110" s="17">
        <f t="shared" si="22"/>
        <v>0</v>
      </c>
      <c r="P110" s="18">
        <f t="shared" si="23"/>
        <v>96</v>
      </c>
      <c r="Q110" s="19">
        <f t="shared" si="24"/>
        <v>0</v>
      </c>
      <c r="R110" s="19">
        <f t="shared" si="25"/>
        <v>-96</v>
      </c>
      <c r="S110" s="20"/>
      <c r="T110" s="22" t="s">
        <v>111</v>
      </c>
    </row>
    <row r="111" spans="1:20" ht="15.75" x14ac:dyDescent="0.25">
      <c r="A111" s="11">
        <f>[1]Лист4!A219</f>
        <v>2</v>
      </c>
      <c r="B111" s="12" t="str">
        <f>[1]Лист4!C219</f>
        <v>FGGD11-14 Хризантема 1 Алемани</v>
      </c>
      <c r="C111" s="13">
        <f>[1]Лист4!D219</f>
        <v>80</v>
      </c>
      <c r="D111" s="14">
        <f>[1]Лист4!F219</f>
        <v>0.43</v>
      </c>
      <c r="E111" s="15">
        <f t="shared" si="13"/>
        <v>34.4</v>
      </c>
      <c r="F111" s="15">
        <f t="shared" si="14"/>
        <v>3.5518000000000001E-2</v>
      </c>
      <c r="G111" s="16">
        <f t="shared" si="15"/>
        <v>0.91</v>
      </c>
      <c r="H111" s="16">
        <f t="shared" si="16"/>
        <v>2.6999999999999997</v>
      </c>
      <c r="I111" s="16">
        <f t="shared" si="17"/>
        <v>3.1199999999999997</v>
      </c>
      <c r="J111" s="16">
        <f t="shared" si="18"/>
        <v>2.6799999999999997</v>
      </c>
      <c r="K111" s="16">
        <f t="shared" si="19"/>
        <v>0</v>
      </c>
      <c r="L111" s="17"/>
      <c r="M111" s="16">
        <f t="shared" si="20"/>
        <v>0</v>
      </c>
      <c r="N111" s="17">
        <f t="shared" si="21"/>
        <v>0</v>
      </c>
      <c r="O111" s="17">
        <f t="shared" si="22"/>
        <v>0</v>
      </c>
      <c r="P111" s="18">
        <f t="shared" si="23"/>
        <v>72.8</v>
      </c>
      <c r="Q111" s="19">
        <f t="shared" si="24"/>
        <v>0</v>
      </c>
      <c r="R111" s="19">
        <f t="shared" si="25"/>
        <v>-72.8</v>
      </c>
      <c r="S111" s="20"/>
      <c r="T111" s="22" t="s">
        <v>112</v>
      </c>
    </row>
    <row r="112" spans="1:20" ht="15.75" x14ac:dyDescent="0.25">
      <c r="A112" s="11">
        <f>[1]Лист4!A212</f>
        <v>2</v>
      </c>
      <c r="B112" s="12" t="str">
        <f>[1]Лист4!C212</f>
        <v>FGGD11-14 Хризантема 1 Антонов</v>
      </c>
      <c r="C112" s="13">
        <f>[1]Лист4!D212</f>
        <v>180</v>
      </c>
      <c r="D112" s="14">
        <f>[1]Лист4!F212</f>
        <v>0.37</v>
      </c>
      <c r="E112" s="15">
        <f t="shared" si="13"/>
        <v>66.599999999999994</v>
      </c>
      <c r="F112" s="15">
        <f t="shared" si="14"/>
        <v>3.0562000000000002E-2</v>
      </c>
      <c r="G112" s="16">
        <f t="shared" si="15"/>
        <v>0.81</v>
      </c>
      <c r="H112" s="16">
        <f t="shared" si="16"/>
        <v>2.4099999999999997</v>
      </c>
      <c r="I112" s="16">
        <f t="shared" si="17"/>
        <v>2.78</v>
      </c>
      <c r="J112" s="16">
        <f t="shared" si="18"/>
        <v>2.38</v>
      </c>
      <c r="K112" s="16">
        <f t="shared" si="19"/>
        <v>0</v>
      </c>
      <c r="L112" s="17"/>
      <c r="M112" s="16">
        <f t="shared" si="20"/>
        <v>0</v>
      </c>
      <c r="N112" s="17">
        <f t="shared" si="21"/>
        <v>0</v>
      </c>
      <c r="O112" s="17">
        <f t="shared" si="22"/>
        <v>0</v>
      </c>
      <c r="P112" s="18">
        <f t="shared" si="23"/>
        <v>145.80000000000001</v>
      </c>
      <c r="Q112" s="19">
        <f t="shared" si="24"/>
        <v>0</v>
      </c>
      <c r="R112" s="19">
        <f t="shared" si="25"/>
        <v>-145.80000000000001</v>
      </c>
      <c r="S112" s="20"/>
      <c r="T112" s="22" t="s">
        <v>113</v>
      </c>
    </row>
    <row r="113" spans="1:20" ht="15.75" x14ac:dyDescent="0.25">
      <c r="A113" s="11">
        <f>[1]Лист4!A215</f>
        <v>2</v>
      </c>
      <c r="B113" s="12" t="str">
        <f>[1]Лист4!C215</f>
        <v>FGGD11-14 Хризантема 1 Магнум</v>
      </c>
      <c r="C113" s="13">
        <f>[1]Лист4!D215</f>
        <v>120</v>
      </c>
      <c r="D113" s="14">
        <f>[1]Лист4!F215</f>
        <v>0.39</v>
      </c>
      <c r="E113" s="15">
        <f t="shared" si="13"/>
        <v>46.800000000000004</v>
      </c>
      <c r="F113" s="15">
        <f t="shared" si="14"/>
        <v>3.2214E-2</v>
      </c>
      <c r="G113" s="16">
        <f t="shared" si="15"/>
        <v>0.84</v>
      </c>
      <c r="H113" s="16">
        <f t="shared" si="16"/>
        <v>2.4899999999999998</v>
      </c>
      <c r="I113" s="16">
        <f t="shared" si="17"/>
        <v>2.88</v>
      </c>
      <c r="J113" s="16">
        <f t="shared" si="18"/>
        <v>2.4699999999999998</v>
      </c>
      <c r="K113" s="16">
        <f t="shared" si="19"/>
        <v>0</v>
      </c>
      <c r="L113" s="17"/>
      <c r="M113" s="16">
        <f t="shared" si="20"/>
        <v>0</v>
      </c>
      <c r="N113" s="17">
        <f t="shared" si="21"/>
        <v>0</v>
      </c>
      <c r="O113" s="17">
        <f t="shared" si="22"/>
        <v>0</v>
      </c>
      <c r="P113" s="18">
        <f t="shared" si="23"/>
        <v>100.8</v>
      </c>
      <c r="Q113" s="19">
        <f t="shared" si="24"/>
        <v>0</v>
      </c>
      <c r="R113" s="19">
        <f t="shared" si="25"/>
        <v>-100.8</v>
      </c>
      <c r="S113" s="20"/>
      <c r="T113" s="22" t="s">
        <v>114</v>
      </c>
    </row>
    <row r="114" spans="1:20" ht="15.75" x14ac:dyDescent="0.25">
      <c r="A114" s="11">
        <f>[1]Лист4!A216</f>
        <v>2</v>
      </c>
      <c r="B114" s="12" t="str">
        <f>[1]Лист4!C216</f>
        <v>FGGD11-14 Хризантема 1 Туту</v>
      </c>
      <c r="C114" s="13">
        <f>[1]Лист4!D216</f>
        <v>360</v>
      </c>
      <c r="D114" s="14">
        <f>[1]Лист4!F216</f>
        <v>0.47000000000000003</v>
      </c>
      <c r="E114" s="15">
        <f t="shared" si="13"/>
        <v>169.20000000000002</v>
      </c>
      <c r="F114" s="15">
        <f t="shared" si="14"/>
        <v>3.8822000000000002E-2</v>
      </c>
      <c r="G114" s="16">
        <f t="shared" si="15"/>
        <v>0.98</v>
      </c>
      <c r="H114" s="16">
        <f t="shared" si="16"/>
        <v>2.9099999999999997</v>
      </c>
      <c r="I114" s="16">
        <f t="shared" si="17"/>
        <v>3.36</v>
      </c>
      <c r="J114" s="16">
        <f t="shared" si="18"/>
        <v>2.88</v>
      </c>
      <c r="K114" s="16">
        <f t="shared" si="19"/>
        <v>0</v>
      </c>
      <c r="L114" s="17"/>
      <c r="M114" s="16">
        <f t="shared" si="20"/>
        <v>0</v>
      </c>
      <c r="N114" s="17">
        <f t="shared" si="21"/>
        <v>0</v>
      </c>
      <c r="O114" s="17">
        <f t="shared" si="22"/>
        <v>0</v>
      </c>
      <c r="P114" s="18">
        <f t="shared" si="23"/>
        <v>352.8</v>
      </c>
      <c r="Q114" s="19">
        <f t="shared" si="24"/>
        <v>0</v>
      </c>
      <c r="R114" s="19">
        <f t="shared" si="25"/>
        <v>-352.8</v>
      </c>
      <c r="S114" s="20"/>
      <c r="T114" s="22" t="s">
        <v>115</v>
      </c>
    </row>
    <row r="115" spans="1:20" ht="15.75" x14ac:dyDescent="0.25">
      <c r="A115" s="11">
        <f>[1]Лист4!A214</f>
        <v>2</v>
      </c>
      <c r="B115" s="12" t="str">
        <f>[1]Лист4!C214</f>
        <v>FGGD11-14 Хризантема 1 Ханимун</v>
      </c>
      <c r="C115" s="13">
        <f>[1]Лист4!D214</f>
        <v>120</v>
      </c>
      <c r="D115" s="14">
        <f>[1]Лист4!F214</f>
        <v>0.6</v>
      </c>
      <c r="E115" s="15">
        <f t="shared" si="13"/>
        <v>72</v>
      </c>
      <c r="F115" s="15">
        <f t="shared" si="14"/>
        <v>4.956E-2</v>
      </c>
      <c r="G115" s="16">
        <f t="shared" si="15"/>
        <v>1.2</v>
      </c>
      <c r="H115" s="16">
        <f t="shared" si="16"/>
        <v>3.5599999999999996</v>
      </c>
      <c r="I115" s="16">
        <f t="shared" si="17"/>
        <v>4.1099999999999994</v>
      </c>
      <c r="J115" s="16">
        <f t="shared" si="18"/>
        <v>3.53</v>
      </c>
      <c r="K115" s="16">
        <f t="shared" si="19"/>
        <v>0</v>
      </c>
      <c r="L115" s="17"/>
      <c r="M115" s="16">
        <f t="shared" si="20"/>
        <v>0</v>
      </c>
      <c r="N115" s="17">
        <f t="shared" si="21"/>
        <v>0</v>
      </c>
      <c r="O115" s="17">
        <f t="shared" si="22"/>
        <v>0</v>
      </c>
      <c r="P115" s="18">
        <f t="shared" si="23"/>
        <v>144</v>
      </c>
      <c r="Q115" s="19">
        <f t="shared" si="24"/>
        <v>0</v>
      </c>
      <c r="R115" s="19">
        <f t="shared" si="25"/>
        <v>-144</v>
      </c>
      <c r="S115" s="20"/>
      <c r="T115" s="22" t="s">
        <v>116</v>
      </c>
    </row>
    <row r="116" spans="1:20" ht="15.75" x14ac:dyDescent="0.25">
      <c r="A116" s="11">
        <f>[1]Лист4!A220</f>
        <v>2</v>
      </c>
      <c r="B116" s="12" t="str">
        <f>[1]Лист4!C220</f>
        <v>FGGD11-14 Хризантема Алтай</v>
      </c>
      <c r="C116" s="13">
        <f>[1]Лист4!D220</f>
        <v>3080</v>
      </c>
      <c r="D116" s="14">
        <f>[1]Лист4!F220</f>
        <v>0.65</v>
      </c>
      <c r="E116" s="15">
        <f t="shared" si="13"/>
        <v>2002</v>
      </c>
      <c r="F116" s="15">
        <f t="shared" si="14"/>
        <v>5.3690000000000009E-2</v>
      </c>
      <c r="G116" s="16">
        <f t="shared" si="15"/>
        <v>1.29</v>
      </c>
      <c r="H116" s="16">
        <f t="shared" si="16"/>
        <v>3.8299999999999996</v>
      </c>
      <c r="I116" s="16">
        <f t="shared" si="17"/>
        <v>4.42</v>
      </c>
      <c r="J116" s="16">
        <f t="shared" si="18"/>
        <v>3.7899999999999996</v>
      </c>
      <c r="K116" s="16">
        <f t="shared" si="19"/>
        <v>0</v>
      </c>
      <c r="L116" s="17"/>
      <c r="M116" s="16">
        <f t="shared" si="20"/>
        <v>0</v>
      </c>
      <c r="N116" s="17">
        <f t="shared" si="21"/>
        <v>0</v>
      </c>
      <c r="O116" s="17">
        <f t="shared" si="22"/>
        <v>0</v>
      </c>
      <c r="P116" s="18">
        <f t="shared" si="23"/>
        <v>3973.2000000000003</v>
      </c>
      <c r="Q116" s="19">
        <f t="shared" si="24"/>
        <v>0</v>
      </c>
      <c r="R116" s="19">
        <f t="shared" si="25"/>
        <v>-3973.2000000000003</v>
      </c>
      <c r="S116" s="20"/>
      <c r="T116" s="22" t="s">
        <v>117</v>
      </c>
    </row>
    <row r="117" spans="1:20" ht="15.75" x14ac:dyDescent="0.25">
      <c r="A117" s="11">
        <f>[1]Лист4!A221</f>
        <v>2</v>
      </c>
      <c r="B117" s="12" t="str">
        <f>[1]Лист4!C221</f>
        <v>FGGD11-14 Хризантема Балтика</v>
      </c>
      <c r="C117" s="13">
        <f>[1]Лист4!D221</f>
        <v>1660</v>
      </c>
      <c r="D117" s="14">
        <f>[1]Лист4!F221</f>
        <v>0.6</v>
      </c>
      <c r="E117" s="15">
        <f t="shared" si="13"/>
        <v>996</v>
      </c>
      <c r="F117" s="15">
        <f t="shared" si="14"/>
        <v>4.956E-2</v>
      </c>
      <c r="G117" s="16">
        <f t="shared" si="15"/>
        <v>1.2</v>
      </c>
      <c r="H117" s="16">
        <f t="shared" si="16"/>
        <v>3.5599999999999996</v>
      </c>
      <c r="I117" s="16">
        <f t="shared" si="17"/>
        <v>4.1099999999999994</v>
      </c>
      <c r="J117" s="16">
        <f t="shared" si="18"/>
        <v>3.53</v>
      </c>
      <c r="K117" s="16">
        <f t="shared" si="19"/>
        <v>0</v>
      </c>
      <c r="L117" s="17"/>
      <c r="M117" s="16">
        <f t="shared" si="20"/>
        <v>0</v>
      </c>
      <c r="N117" s="17">
        <f t="shared" si="21"/>
        <v>0</v>
      </c>
      <c r="O117" s="17">
        <f t="shared" si="22"/>
        <v>0</v>
      </c>
      <c r="P117" s="18">
        <f t="shared" si="23"/>
        <v>1992</v>
      </c>
      <c r="Q117" s="19">
        <f t="shared" si="24"/>
        <v>0</v>
      </c>
      <c r="R117" s="19">
        <f t="shared" si="25"/>
        <v>-1992</v>
      </c>
      <c r="S117" s="20"/>
      <c r="T117" s="22" t="s">
        <v>118</v>
      </c>
    </row>
    <row r="118" spans="1:20" ht="15.75" x14ac:dyDescent="0.25">
      <c r="A118" s="11">
        <f>[1]Лист4!A223</f>
        <v>2</v>
      </c>
      <c r="B118" s="12" t="str">
        <f>[1]Лист4!C223</f>
        <v>FGGD11-14 Хризантема делигрин</v>
      </c>
      <c r="C118" s="13">
        <f>[1]Лист4!D223</f>
        <v>140</v>
      </c>
      <c r="D118" s="14">
        <f>[1]Лист4!F223</f>
        <v>0.48</v>
      </c>
      <c r="E118" s="15">
        <f t="shared" si="13"/>
        <v>67.2</v>
      </c>
      <c r="F118" s="15">
        <f t="shared" si="14"/>
        <v>3.9647999999999996E-2</v>
      </c>
      <c r="G118" s="16">
        <f t="shared" si="15"/>
        <v>1</v>
      </c>
      <c r="H118" s="16">
        <f t="shared" si="16"/>
        <v>2.9699999999999998</v>
      </c>
      <c r="I118" s="16">
        <f t="shared" si="17"/>
        <v>3.42</v>
      </c>
      <c r="J118" s="16">
        <f t="shared" si="18"/>
        <v>2.94</v>
      </c>
      <c r="K118" s="16">
        <f t="shared" si="19"/>
        <v>0</v>
      </c>
      <c r="L118" s="17"/>
      <c r="M118" s="16">
        <f t="shared" si="20"/>
        <v>0</v>
      </c>
      <c r="N118" s="17">
        <f t="shared" si="21"/>
        <v>0</v>
      </c>
      <c r="O118" s="17">
        <f t="shared" si="22"/>
        <v>0</v>
      </c>
      <c r="P118" s="18">
        <f t="shared" si="23"/>
        <v>140</v>
      </c>
      <c r="Q118" s="19">
        <f t="shared" si="24"/>
        <v>0</v>
      </c>
      <c r="R118" s="19">
        <f t="shared" si="25"/>
        <v>-140</v>
      </c>
      <c r="S118" s="20"/>
      <c r="T118" s="22" t="s">
        <v>119</v>
      </c>
    </row>
    <row r="119" spans="1:20" ht="15.75" x14ac:dyDescent="0.25">
      <c r="A119" s="11">
        <f>[1]Лист4!A225</f>
        <v>2</v>
      </c>
      <c r="B119" s="12" t="str">
        <f>[1]Лист4!C225</f>
        <v>FGGD11-14 Хризантема кеннеди</v>
      </c>
      <c r="C119" s="13">
        <f>[1]Лист4!D225</f>
        <v>2560</v>
      </c>
      <c r="D119" s="14">
        <f>[1]Лист4!F225</f>
        <v>0.47000000000000003</v>
      </c>
      <c r="E119" s="15">
        <f t="shared" si="13"/>
        <v>1203.2</v>
      </c>
      <c r="F119" s="15">
        <f t="shared" si="14"/>
        <v>3.8822000000000002E-2</v>
      </c>
      <c r="G119" s="16">
        <f t="shared" si="15"/>
        <v>0.98</v>
      </c>
      <c r="H119" s="16">
        <f t="shared" si="16"/>
        <v>2.9099999999999997</v>
      </c>
      <c r="I119" s="16">
        <f t="shared" si="17"/>
        <v>3.36</v>
      </c>
      <c r="J119" s="16">
        <f t="shared" si="18"/>
        <v>2.88</v>
      </c>
      <c r="K119" s="16">
        <f t="shared" si="19"/>
        <v>0</v>
      </c>
      <c r="L119" s="17"/>
      <c r="M119" s="16">
        <f t="shared" si="20"/>
        <v>0</v>
      </c>
      <c r="N119" s="17">
        <f t="shared" si="21"/>
        <v>0</v>
      </c>
      <c r="O119" s="17">
        <f t="shared" si="22"/>
        <v>0</v>
      </c>
      <c r="P119" s="18">
        <f t="shared" si="23"/>
        <v>2508.8000000000002</v>
      </c>
      <c r="Q119" s="19">
        <f t="shared" si="24"/>
        <v>0</v>
      </c>
      <c r="R119" s="19">
        <f t="shared" si="25"/>
        <v>-2508.8000000000002</v>
      </c>
      <c r="S119" s="20"/>
      <c r="T119" s="22" t="s">
        <v>120</v>
      </c>
    </row>
    <row r="120" spans="1:20" ht="15.75" x14ac:dyDescent="0.25">
      <c r="A120" s="11">
        <f>[1]Лист4!A226</f>
        <v>2</v>
      </c>
      <c r="B120" s="12" t="str">
        <f>[1]Лист4!C226</f>
        <v>FGGD11-14 Хризантема ньютон</v>
      </c>
      <c r="C120" s="13">
        <f>[1]Лист4!D226</f>
        <v>160</v>
      </c>
      <c r="D120" s="14">
        <f>[1]Лист4!F226</f>
        <v>0.98</v>
      </c>
      <c r="E120" s="15">
        <f t="shared" si="13"/>
        <v>156.80000000000001</v>
      </c>
      <c r="F120" s="15">
        <f t="shared" si="14"/>
        <v>8.0947999999999992E-2</v>
      </c>
      <c r="G120" s="16">
        <f t="shared" si="15"/>
        <v>1.86</v>
      </c>
      <c r="H120" s="16">
        <f t="shared" si="16"/>
        <v>5.52</v>
      </c>
      <c r="I120" s="16">
        <f t="shared" si="17"/>
        <v>6.37</v>
      </c>
      <c r="J120" s="16">
        <f t="shared" si="18"/>
        <v>5.47</v>
      </c>
      <c r="K120" s="16">
        <f t="shared" si="19"/>
        <v>0</v>
      </c>
      <c r="L120" s="17"/>
      <c r="M120" s="16">
        <f t="shared" si="20"/>
        <v>0</v>
      </c>
      <c r="N120" s="17">
        <f t="shared" si="21"/>
        <v>0</v>
      </c>
      <c r="O120" s="17">
        <f t="shared" si="22"/>
        <v>0</v>
      </c>
      <c r="P120" s="18">
        <f t="shared" si="23"/>
        <v>297.60000000000002</v>
      </c>
      <c r="Q120" s="19">
        <f t="shared" si="24"/>
        <v>0</v>
      </c>
      <c r="R120" s="19">
        <f t="shared" si="25"/>
        <v>-297.60000000000002</v>
      </c>
      <c r="S120" s="20"/>
      <c r="T120" s="22" t="s">
        <v>121</v>
      </c>
    </row>
    <row r="121" spans="1:20" ht="15.75" x14ac:dyDescent="0.25">
      <c r="A121" s="11">
        <f>[1]Лист4!A227</f>
        <v>2</v>
      </c>
      <c r="B121" s="12" t="str">
        <f>[1]Лист4!C227</f>
        <v>FGGD11-14 Хризантема пастель сальмон</v>
      </c>
      <c r="C121" s="13">
        <f>[1]Лист4!D227</f>
        <v>80</v>
      </c>
      <c r="D121" s="14">
        <f>[1]Лист4!F227</f>
        <v>0.46</v>
      </c>
      <c r="E121" s="15">
        <f t="shared" si="13"/>
        <v>36.800000000000004</v>
      </c>
      <c r="F121" s="15">
        <f t="shared" si="14"/>
        <v>3.7996000000000002E-2</v>
      </c>
      <c r="G121" s="16">
        <f t="shared" si="15"/>
        <v>0.96</v>
      </c>
      <c r="H121" s="16">
        <f t="shared" si="16"/>
        <v>2.8499999999999996</v>
      </c>
      <c r="I121" s="16">
        <f t="shared" si="17"/>
        <v>3.2899999999999996</v>
      </c>
      <c r="J121" s="16">
        <f t="shared" si="18"/>
        <v>2.82</v>
      </c>
      <c r="K121" s="16">
        <f t="shared" si="19"/>
        <v>0</v>
      </c>
      <c r="L121" s="17"/>
      <c r="M121" s="16">
        <f t="shared" si="20"/>
        <v>0</v>
      </c>
      <c r="N121" s="17">
        <f t="shared" si="21"/>
        <v>0</v>
      </c>
      <c r="O121" s="17">
        <f t="shared" si="22"/>
        <v>0</v>
      </c>
      <c r="P121" s="18">
        <f t="shared" si="23"/>
        <v>76.8</v>
      </c>
      <c r="Q121" s="19">
        <f t="shared" si="24"/>
        <v>0</v>
      </c>
      <c r="R121" s="19">
        <f t="shared" si="25"/>
        <v>-76.8</v>
      </c>
      <c r="S121" s="20"/>
      <c r="T121" s="22" t="s">
        <v>122</v>
      </c>
    </row>
    <row r="122" spans="1:20" ht="15.75" x14ac:dyDescent="0.25">
      <c r="A122" s="11">
        <f>[1]Лист4!A228</f>
        <v>2</v>
      </c>
      <c r="B122" s="12" t="str">
        <f>[1]Лист4!C228</f>
        <v>FGGD11-14 Хризантема пина колада</v>
      </c>
      <c r="C122" s="13">
        <f>[1]Лист4!D228</f>
        <v>160</v>
      </c>
      <c r="D122" s="14">
        <f>[1]Лист4!F228</f>
        <v>0.41</v>
      </c>
      <c r="E122" s="15">
        <f t="shared" si="13"/>
        <v>65.599999999999994</v>
      </c>
      <c r="F122" s="15">
        <f t="shared" si="14"/>
        <v>3.3866E-2</v>
      </c>
      <c r="G122" s="16">
        <f t="shared" si="15"/>
        <v>0.88</v>
      </c>
      <c r="H122" s="16">
        <f t="shared" si="16"/>
        <v>2.61</v>
      </c>
      <c r="I122" s="16">
        <f t="shared" si="17"/>
        <v>3.01</v>
      </c>
      <c r="J122" s="16">
        <f t="shared" si="18"/>
        <v>2.59</v>
      </c>
      <c r="K122" s="16">
        <f t="shared" si="19"/>
        <v>0</v>
      </c>
      <c r="L122" s="17"/>
      <c r="M122" s="16">
        <f t="shared" si="20"/>
        <v>0</v>
      </c>
      <c r="N122" s="17">
        <f t="shared" si="21"/>
        <v>0</v>
      </c>
      <c r="O122" s="17">
        <f t="shared" si="22"/>
        <v>0</v>
      </c>
      <c r="P122" s="18">
        <f t="shared" si="23"/>
        <v>140.80000000000001</v>
      </c>
      <c r="Q122" s="19">
        <f t="shared" si="24"/>
        <v>0</v>
      </c>
      <c r="R122" s="19">
        <f t="shared" si="25"/>
        <v>-140.80000000000001</v>
      </c>
      <c r="S122" s="20"/>
      <c r="T122" s="22" t="s">
        <v>123</v>
      </c>
    </row>
    <row r="123" spans="1:20" ht="15.75" x14ac:dyDescent="0.25">
      <c r="A123" s="11">
        <f>[1]Лист4!A218</f>
        <v>2</v>
      </c>
      <c r="B123" s="12" t="str">
        <f>[1]Лист4!C218</f>
        <v>FGGD11-14 Хризантема Сантини Росси пинк</v>
      </c>
      <c r="C123" s="13">
        <f>[1]Лист4!D218</f>
        <v>75</v>
      </c>
      <c r="D123" s="14">
        <f>[1]Лист4!F218</f>
        <v>0.54</v>
      </c>
      <c r="E123" s="15">
        <f t="shared" si="13"/>
        <v>40.5</v>
      </c>
      <c r="F123" s="15">
        <f t="shared" si="14"/>
        <v>4.4604000000000005E-2</v>
      </c>
      <c r="G123" s="16">
        <f t="shared" si="15"/>
        <v>1.1000000000000001</v>
      </c>
      <c r="H123" s="16">
        <f t="shared" si="16"/>
        <v>3.2699999999999996</v>
      </c>
      <c r="I123" s="16">
        <f t="shared" si="17"/>
        <v>3.7699999999999996</v>
      </c>
      <c r="J123" s="16">
        <f t="shared" si="18"/>
        <v>3.23</v>
      </c>
      <c r="K123" s="16">
        <f t="shared" si="19"/>
        <v>0</v>
      </c>
      <c r="L123" s="17"/>
      <c r="M123" s="16">
        <f t="shared" si="20"/>
        <v>0</v>
      </c>
      <c r="N123" s="17">
        <f t="shared" si="21"/>
        <v>0</v>
      </c>
      <c r="O123" s="17">
        <f t="shared" si="22"/>
        <v>0</v>
      </c>
      <c r="P123" s="18">
        <f t="shared" si="23"/>
        <v>82.5</v>
      </c>
      <c r="Q123" s="19">
        <f t="shared" si="24"/>
        <v>0</v>
      </c>
      <c r="R123" s="19">
        <f t="shared" si="25"/>
        <v>-82.5</v>
      </c>
      <c r="S123" s="20"/>
      <c r="T123" s="22" t="s">
        <v>124</v>
      </c>
    </row>
    <row r="124" spans="1:20" ht="15.75" x14ac:dyDescent="0.25">
      <c r="A124" s="11">
        <f>[1]Лист4!A224</f>
        <v>2</v>
      </c>
      <c r="B124" s="12" t="str">
        <f>[1]Лист4!C224</f>
        <v>FGGD11-14 Хризантема фабиен свит</v>
      </c>
      <c r="C124" s="13">
        <f>[1]Лист4!D224</f>
        <v>320</v>
      </c>
      <c r="D124" s="14">
        <f>[1]Лист4!F224</f>
        <v>0.55000000000000004</v>
      </c>
      <c r="E124" s="15">
        <f t="shared" si="13"/>
        <v>176</v>
      </c>
      <c r="F124" s="15">
        <f t="shared" si="14"/>
        <v>4.5430000000000005E-2</v>
      </c>
      <c r="G124" s="16">
        <f t="shared" si="15"/>
        <v>1.1200000000000001</v>
      </c>
      <c r="H124" s="16">
        <f t="shared" si="16"/>
        <v>3.32</v>
      </c>
      <c r="I124" s="16">
        <f t="shared" si="17"/>
        <v>3.84</v>
      </c>
      <c r="J124" s="16">
        <f t="shared" si="18"/>
        <v>3.2899999999999996</v>
      </c>
      <c r="K124" s="16">
        <f t="shared" si="19"/>
        <v>0</v>
      </c>
      <c r="L124" s="17"/>
      <c r="M124" s="16">
        <f t="shared" si="20"/>
        <v>0</v>
      </c>
      <c r="N124" s="17">
        <f t="shared" si="21"/>
        <v>0</v>
      </c>
      <c r="O124" s="17">
        <f t="shared" si="22"/>
        <v>0</v>
      </c>
      <c r="P124" s="18">
        <f t="shared" si="23"/>
        <v>358.40000000000003</v>
      </c>
      <c r="Q124" s="19">
        <f t="shared" si="24"/>
        <v>0</v>
      </c>
      <c r="R124" s="19">
        <f t="shared" si="25"/>
        <v>-358.40000000000003</v>
      </c>
      <c r="S124" s="20"/>
      <c r="T124" s="22" t="s">
        <v>125</v>
      </c>
    </row>
    <row r="125" spans="1:20" ht="15.75" x14ac:dyDescent="0.25">
      <c r="A125" s="11">
        <f>[1]Лист4!A222</f>
        <v>2</v>
      </c>
      <c r="B125" s="12" t="str">
        <f>[1]Лист4!C222</f>
        <v>FGGD11-14 Хризантема Шик</v>
      </c>
      <c r="C125" s="13">
        <f>[1]Лист4!D222</f>
        <v>640</v>
      </c>
      <c r="D125" s="14">
        <f>[1]Лист4!F222</f>
        <v>0.46</v>
      </c>
      <c r="E125" s="15">
        <f t="shared" si="13"/>
        <v>294.40000000000003</v>
      </c>
      <c r="F125" s="15">
        <f t="shared" si="14"/>
        <v>3.7996000000000002E-2</v>
      </c>
      <c r="G125" s="16">
        <f t="shared" si="15"/>
        <v>0.96</v>
      </c>
      <c r="H125" s="16">
        <f t="shared" si="16"/>
        <v>2.8499999999999996</v>
      </c>
      <c r="I125" s="16">
        <f t="shared" si="17"/>
        <v>3.2899999999999996</v>
      </c>
      <c r="J125" s="16">
        <f t="shared" si="18"/>
        <v>2.82</v>
      </c>
      <c r="K125" s="16">
        <f t="shared" si="19"/>
        <v>0</v>
      </c>
      <c r="L125" s="17"/>
      <c r="M125" s="16">
        <f t="shared" si="20"/>
        <v>0</v>
      </c>
      <c r="N125" s="17">
        <f t="shared" si="21"/>
        <v>0</v>
      </c>
      <c r="O125" s="17">
        <f t="shared" si="22"/>
        <v>0</v>
      </c>
      <c r="P125" s="18">
        <f t="shared" si="23"/>
        <v>614.4</v>
      </c>
      <c r="Q125" s="19">
        <f t="shared" si="24"/>
        <v>0</v>
      </c>
      <c r="R125" s="19">
        <f t="shared" si="25"/>
        <v>-614.4</v>
      </c>
      <c r="S125" s="20"/>
      <c r="T125" s="22" t="s">
        <v>126</v>
      </c>
    </row>
    <row r="126" spans="1:20" ht="15.75" x14ac:dyDescent="0.25">
      <c r="A126" s="11">
        <f>[1]Лист4!A229</f>
        <v>2</v>
      </c>
      <c r="B126" s="12" t="str">
        <f>[1]Лист4!C229</f>
        <v>FGGD11-14 Хризантема Шугабани</v>
      </c>
      <c r="C126" s="13">
        <f>[1]Лист4!D229</f>
        <v>40</v>
      </c>
      <c r="D126" s="14">
        <f>[1]Лист4!F229</f>
        <v>0.61</v>
      </c>
      <c r="E126" s="15">
        <f t="shared" si="13"/>
        <v>24.4</v>
      </c>
      <c r="F126" s="15">
        <f t="shared" si="14"/>
        <v>5.0386000000000007E-2</v>
      </c>
      <c r="G126" s="16">
        <f t="shared" si="15"/>
        <v>1.22</v>
      </c>
      <c r="H126" s="16">
        <f t="shared" si="16"/>
        <v>3.6199999999999997</v>
      </c>
      <c r="I126" s="16">
        <f t="shared" si="17"/>
        <v>4.18</v>
      </c>
      <c r="J126" s="16">
        <f t="shared" si="18"/>
        <v>3.59</v>
      </c>
      <c r="K126" s="16">
        <f t="shared" si="19"/>
        <v>0</v>
      </c>
      <c r="L126" s="17"/>
      <c r="M126" s="16">
        <f t="shared" si="20"/>
        <v>0</v>
      </c>
      <c r="N126" s="17">
        <f t="shared" si="21"/>
        <v>0</v>
      </c>
      <c r="O126" s="17">
        <f t="shared" si="22"/>
        <v>0</v>
      </c>
      <c r="P126" s="18">
        <f t="shared" si="23"/>
        <v>48.8</v>
      </c>
      <c r="Q126" s="19">
        <f t="shared" si="24"/>
        <v>0</v>
      </c>
      <c r="R126" s="19">
        <f t="shared" si="25"/>
        <v>-48.8</v>
      </c>
      <c r="S126" s="20"/>
      <c r="T126" s="22" t="s">
        <v>127</v>
      </c>
    </row>
    <row r="127" spans="1:20" ht="15.75" x14ac:dyDescent="0.25">
      <c r="A127" s="11">
        <f>[1]Лист4!A241</f>
        <v>8</v>
      </c>
      <c r="B127" s="12" t="str">
        <f>[1]Лист4!C241</f>
        <v>FGGD11-14 Эрингиум</v>
      </c>
      <c r="C127" s="13">
        <f>[1]Лист4!D241</f>
        <v>30</v>
      </c>
      <c r="D127" s="14">
        <f>[1]Лист4!F241</f>
        <v>0.45</v>
      </c>
      <c r="E127" s="15">
        <f t="shared" si="13"/>
        <v>13.5</v>
      </c>
      <c r="F127" s="15">
        <f t="shared" si="14"/>
        <v>3.7170000000000009E-2</v>
      </c>
      <c r="G127" s="16">
        <f t="shared" si="15"/>
        <v>0.95</v>
      </c>
      <c r="H127" s="16">
        <f t="shared" si="16"/>
        <v>2.82</v>
      </c>
      <c r="I127" s="16">
        <f t="shared" si="17"/>
        <v>3.25</v>
      </c>
      <c r="J127" s="16">
        <f t="shared" si="18"/>
        <v>2.7899999999999996</v>
      </c>
      <c r="K127" s="16">
        <f t="shared" si="19"/>
        <v>0</v>
      </c>
      <c r="L127" s="17"/>
      <c r="M127" s="16">
        <f t="shared" si="20"/>
        <v>0</v>
      </c>
      <c r="N127" s="17">
        <f t="shared" si="21"/>
        <v>0</v>
      </c>
      <c r="O127" s="17">
        <f t="shared" si="22"/>
        <v>0</v>
      </c>
      <c r="P127" s="18">
        <f t="shared" si="23"/>
        <v>28.5</v>
      </c>
      <c r="Q127" s="19">
        <f t="shared" si="24"/>
        <v>0</v>
      </c>
      <c r="R127" s="19">
        <f t="shared" si="25"/>
        <v>-28.5</v>
      </c>
      <c r="S127" s="20"/>
      <c r="T127" s="22" t="s">
        <v>128</v>
      </c>
    </row>
    <row r="128" spans="1:20" ht="15.75" x14ac:dyDescent="0.25">
      <c r="A128" s="11">
        <f>[1]Лист4!A247</f>
        <v>8</v>
      </c>
      <c r="B128" s="12" t="str">
        <f>[1]Лист4!C247</f>
        <v>FGGD11-14 Эустома алиса белая</v>
      </c>
      <c r="C128" s="13">
        <f>[1]Лист4!D247</f>
        <v>40</v>
      </c>
      <c r="D128" s="14">
        <f>[1]Лист4!F247</f>
        <v>1.28</v>
      </c>
      <c r="E128" s="15">
        <f t="shared" si="13"/>
        <v>51.2</v>
      </c>
      <c r="F128" s="15">
        <f t="shared" si="14"/>
        <v>0.105728</v>
      </c>
      <c r="G128" s="16">
        <f t="shared" si="15"/>
        <v>2.38</v>
      </c>
      <c r="H128" s="16">
        <f t="shared" si="16"/>
        <v>7.06</v>
      </c>
      <c r="I128" s="16">
        <f t="shared" si="17"/>
        <v>8.14</v>
      </c>
      <c r="J128" s="16">
        <f t="shared" si="18"/>
        <v>6.99</v>
      </c>
      <c r="K128" s="16">
        <f t="shared" si="19"/>
        <v>0</v>
      </c>
      <c r="L128" s="17"/>
      <c r="M128" s="16">
        <f t="shared" si="20"/>
        <v>0</v>
      </c>
      <c r="N128" s="17">
        <f t="shared" si="21"/>
        <v>0</v>
      </c>
      <c r="O128" s="17">
        <f t="shared" si="22"/>
        <v>0</v>
      </c>
      <c r="P128" s="18">
        <f t="shared" si="23"/>
        <v>95.199999999999989</v>
      </c>
      <c r="Q128" s="19">
        <f t="shared" si="24"/>
        <v>0</v>
      </c>
      <c r="R128" s="19">
        <f t="shared" si="25"/>
        <v>-95.199999999999989</v>
      </c>
      <c r="S128" s="20"/>
      <c r="T128" s="22" t="s">
        <v>129</v>
      </c>
    </row>
    <row r="129" spans="1:20" ht="15.75" x14ac:dyDescent="0.25">
      <c r="A129" s="11">
        <f>[1]Лист4!A244</f>
        <v>8</v>
      </c>
      <c r="B129" s="12" t="str">
        <f>[1]Лист4!C244</f>
        <v>FGGD11-14 Эустома Алиса розовая</v>
      </c>
      <c r="C129" s="13">
        <f>[1]Лист4!D244</f>
        <v>40</v>
      </c>
      <c r="D129" s="14">
        <f>[1]Лист4!F244</f>
        <v>1.28</v>
      </c>
      <c r="E129" s="15">
        <f t="shared" si="13"/>
        <v>51.2</v>
      </c>
      <c r="F129" s="15">
        <f t="shared" si="14"/>
        <v>0.105728</v>
      </c>
      <c r="G129" s="16">
        <f t="shared" si="15"/>
        <v>2.38</v>
      </c>
      <c r="H129" s="16">
        <f t="shared" si="16"/>
        <v>7.06</v>
      </c>
      <c r="I129" s="16">
        <f t="shared" si="17"/>
        <v>8.14</v>
      </c>
      <c r="J129" s="16">
        <f t="shared" si="18"/>
        <v>6.99</v>
      </c>
      <c r="K129" s="16">
        <f t="shared" si="19"/>
        <v>0</v>
      </c>
      <c r="L129" s="17"/>
      <c r="M129" s="16">
        <f t="shared" si="20"/>
        <v>0</v>
      </c>
      <c r="N129" s="17">
        <f t="shared" si="21"/>
        <v>0</v>
      </c>
      <c r="O129" s="17">
        <f t="shared" si="22"/>
        <v>0</v>
      </c>
      <c r="P129" s="18">
        <f t="shared" si="23"/>
        <v>95.199999999999989</v>
      </c>
      <c r="Q129" s="19">
        <f t="shared" si="24"/>
        <v>0</v>
      </c>
      <c r="R129" s="19">
        <f t="shared" si="25"/>
        <v>-95.199999999999989</v>
      </c>
      <c r="S129" s="20"/>
      <c r="T129" s="22" t="s">
        <v>130</v>
      </c>
    </row>
    <row r="130" spans="1:20" ht="15.75" x14ac:dyDescent="0.25">
      <c r="A130" s="11">
        <f>[1]Лист4!A250</f>
        <v>8</v>
      </c>
      <c r="B130" s="12" t="str">
        <f>[1]Лист4!C250</f>
        <v>FGGD11-14 Эустома белая</v>
      </c>
      <c r="C130" s="13">
        <f>[1]Лист4!D250</f>
        <v>80</v>
      </c>
      <c r="D130" s="14">
        <f>[1]Лист4!F250</f>
        <v>1.41</v>
      </c>
      <c r="E130" s="15">
        <f t="shared" si="13"/>
        <v>112.8</v>
      </c>
      <c r="F130" s="15">
        <f t="shared" si="14"/>
        <v>0.11646599999999999</v>
      </c>
      <c r="G130" s="16">
        <f t="shared" si="15"/>
        <v>2.6</v>
      </c>
      <c r="H130" s="16">
        <f t="shared" si="16"/>
        <v>7.71</v>
      </c>
      <c r="I130" s="16">
        <f t="shared" si="17"/>
        <v>8.9</v>
      </c>
      <c r="J130" s="16">
        <f t="shared" si="18"/>
        <v>7.64</v>
      </c>
      <c r="K130" s="16">
        <f t="shared" si="19"/>
        <v>0</v>
      </c>
      <c r="L130" s="17"/>
      <c r="M130" s="16">
        <f t="shared" si="20"/>
        <v>0</v>
      </c>
      <c r="N130" s="17">
        <f t="shared" si="21"/>
        <v>0</v>
      </c>
      <c r="O130" s="17">
        <f t="shared" si="22"/>
        <v>0</v>
      </c>
      <c r="P130" s="18">
        <f t="shared" si="23"/>
        <v>208</v>
      </c>
      <c r="Q130" s="19">
        <f t="shared" si="24"/>
        <v>0</v>
      </c>
      <c r="R130" s="19">
        <f t="shared" si="25"/>
        <v>-208</v>
      </c>
      <c r="S130" s="20"/>
      <c r="T130" s="22" t="s">
        <v>131</v>
      </c>
    </row>
    <row r="131" spans="1:20" ht="15.75" x14ac:dyDescent="0.25">
      <c r="A131" s="11">
        <f>[1]Лист4!A248</f>
        <v>8</v>
      </c>
      <c r="B131" s="12" t="str">
        <f>[1]Лист4!C248</f>
        <v>FGGD11-14 Эустома Вейдинг Пинк</v>
      </c>
      <c r="C131" s="13">
        <f>[1]Лист4!D248</f>
        <v>80</v>
      </c>
      <c r="D131" s="14">
        <f>[1]Лист4!F248</f>
        <v>1.6</v>
      </c>
      <c r="E131" s="15">
        <f t="shared" ref="E131:E194" si="26">D131*C131</f>
        <v>128</v>
      </c>
      <c r="F131" s="15">
        <f t="shared" ref="F131:F194" si="27">D131*1.18*0.07</f>
        <v>0.13216</v>
      </c>
      <c r="G131" s="16">
        <f t="shared" ref="G131:G141" si="28">ROUND((((D131*1.15)*1.18)+F131+0.14)*1.2,2)</f>
        <v>2.93</v>
      </c>
      <c r="H131" s="16">
        <f t="shared" ref="H131:H194" si="29">ROUNDUP(G131*1.04*$N$1,2)</f>
        <v>8.69</v>
      </c>
      <c r="I131" s="16">
        <f t="shared" ref="I131:I194" si="30">ROUNDUP(G131*1.2*$N$1,2)</f>
        <v>10.029999999999999</v>
      </c>
      <c r="J131" s="16">
        <f t="shared" ref="J131:J194" si="31">ROUNDUP(G131*1.03*$N$1,2)</f>
        <v>8.61</v>
      </c>
      <c r="K131" s="16">
        <f t="shared" ref="K131:K194" si="32">N131*0.95</f>
        <v>0</v>
      </c>
      <c r="L131" s="17"/>
      <c r="M131" s="16">
        <f t="shared" ref="M131:M194" si="33">ROUNDUP(L131*0.88,2)</f>
        <v>0</v>
      </c>
      <c r="N131" s="17">
        <f t="shared" ref="N131:N194" si="34">ROUNDUP(L131*$N$1,2)</f>
        <v>0</v>
      </c>
      <c r="O131" s="17">
        <f t="shared" ref="O131:O194" si="35">ROUNDUP(N131*0.88,2)</f>
        <v>0</v>
      </c>
      <c r="P131" s="18">
        <f t="shared" ref="P131:P194" si="36">G131*C131</f>
        <v>234.4</v>
      </c>
      <c r="Q131" s="19">
        <f t="shared" ref="Q131:Q194" si="37">L131*C131</f>
        <v>0</v>
      </c>
      <c r="R131" s="19">
        <f t="shared" ref="R131:R194" si="38">Q131-P131</f>
        <v>-234.4</v>
      </c>
      <c r="S131" s="20"/>
      <c r="T131" s="22" t="s">
        <v>132</v>
      </c>
    </row>
    <row r="132" spans="1:20" ht="15.75" x14ac:dyDescent="0.25">
      <c r="A132" s="11">
        <f>[1]Лист4!A249</f>
        <v>8</v>
      </c>
      <c r="B132" s="12" t="str">
        <f>[1]Лист4!C249</f>
        <v>FGGD11-14 Эустома Софт пинк</v>
      </c>
      <c r="C132" s="13">
        <f>[1]Лист4!D249</f>
        <v>80</v>
      </c>
      <c r="D132" s="14">
        <f>[1]Лист4!F249</f>
        <v>1.48</v>
      </c>
      <c r="E132" s="15">
        <f t="shared" si="26"/>
        <v>118.4</v>
      </c>
      <c r="F132" s="15">
        <f t="shared" si="27"/>
        <v>0.12224800000000001</v>
      </c>
      <c r="G132" s="16">
        <f t="shared" si="28"/>
        <v>2.72</v>
      </c>
      <c r="H132" s="16">
        <f t="shared" si="29"/>
        <v>8.07</v>
      </c>
      <c r="I132" s="16">
        <f t="shared" si="30"/>
        <v>9.31</v>
      </c>
      <c r="J132" s="16">
        <f t="shared" si="31"/>
        <v>7.99</v>
      </c>
      <c r="K132" s="16">
        <f t="shared" si="32"/>
        <v>0</v>
      </c>
      <c r="L132" s="17"/>
      <c r="M132" s="16">
        <f t="shared" si="33"/>
        <v>0</v>
      </c>
      <c r="N132" s="17">
        <f t="shared" si="34"/>
        <v>0</v>
      </c>
      <c r="O132" s="17">
        <f t="shared" si="35"/>
        <v>0</v>
      </c>
      <c r="P132" s="18">
        <f t="shared" si="36"/>
        <v>217.60000000000002</v>
      </c>
      <c r="Q132" s="19">
        <f t="shared" si="37"/>
        <v>0</v>
      </c>
      <c r="R132" s="19">
        <f t="shared" si="38"/>
        <v>-217.60000000000002</v>
      </c>
      <c r="S132" s="20"/>
      <c r="T132" s="22" t="s">
        <v>133</v>
      </c>
    </row>
    <row r="133" spans="1:20" ht="15.75" x14ac:dyDescent="0.25">
      <c r="A133" s="11">
        <f>[1]Лист4!A18</f>
        <v>1</v>
      </c>
      <c r="B133" s="12" t="str">
        <f>[1]Лист4!C18</f>
        <v>Роза ветвистая Вуетте NL 60</v>
      </c>
      <c r="C133" s="13">
        <f>[1]Лист4!D18</f>
        <v>200</v>
      </c>
      <c r="D133" s="14">
        <f>[1]Лист4!F18</f>
        <v>0.65</v>
      </c>
      <c r="E133" s="15">
        <f t="shared" si="26"/>
        <v>130</v>
      </c>
      <c r="F133" s="15">
        <f t="shared" si="27"/>
        <v>5.3690000000000009E-2</v>
      </c>
      <c r="G133" s="16">
        <f t="shared" si="28"/>
        <v>1.29</v>
      </c>
      <c r="H133" s="16">
        <f t="shared" si="29"/>
        <v>3.8299999999999996</v>
      </c>
      <c r="I133" s="16">
        <f t="shared" si="30"/>
        <v>4.42</v>
      </c>
      <c r="J133" s="16">
        <f t="shared" si="31"/>
        <v>3.7899999999999996</v>
      </c>
      <c r="K133" s="16">
        <f t="shared" si="32"/>
        <v>5.415</v>
      </c>
      <c r="L133" s="17">
        <f>G133*1.55</f>
        <v>1.9995000000000001</v>
      </c>
      <c r="M133" s="16">
        <f t="shared" si="33"/>
        <v>1.76</v>
      </c>
      <c r="N133" s="17">
        <f t="shared" si="34"/>
        <v>5.7</v>
      </c>
      <c r="O133" s="17">
        <f t="shared" si="35"/>
        <v>5.0199999999999996</v>
      </c>
      <c r="P133" s="18">
        <f t="shared" si="36"/>
        <v>258</v>
      </c>
      <c r="Q133" s="19">
        <f t="shared" si="37"/>
        <v>399.90000000000003</v>
      </c>
      <c r="R133" s="19">
        <f t="shared" si="38"/>
        <v>141.90000000000003</v>
      </c>
      <c r="S133" s="20"/>
      <c r="T133" s="21" t="s">
        <v>134</v>
      </c>
    </row>
    <row r="134" spans="1:20" ht="15.75" x14ac:dyDescent="0.25">
      <c r="A134" s="11">
        <f>[1]Лист4!A21</f>
        <v>1</v>
      </c>
      <c r="B134" s="12" t="str">
        <f>[1]Лист4!C21</f>
        <v>Роза ветвистая Галина NL 70</v>
      </c>
      <c r="C134" s="13">
        <f>[1]Лист4!D21</f>
        <v>60</v>
      </c>
      <c r="D134" s="14">
        <f>[1]Лист4!F21</f>
        <v>1.1000000000000001</v>
      </c>
      <c r="E134" s="15">
        <f t="shared" si="26"/>
        <v>66</v>
      </c>
      <c r="F134" s="15">
        <f t="shared" si="27"/>
        <v>9.086000000000001E-2</v>
      </c>
      <c r="G134" s="16">
        <f t="shared" si="28"/>
        <v>2.0699999999999998</v>
      </c>
      <c r="H134" s="16">
        <f t="shared" si="29"/>
        <v>6.14</v>
      </c>
      <c r="I134" s="16">
        <f t="shared" si="30"/>
        <v>7.08</v>
      </c>
      <c r="J134" s="16">
        <f t="shared" si="31"/>
        <v>6.08</v>
      </c>
      <c r="K134" s="16">
        <f t="shared" si="32"/>
        <v>8.1225000000000005</v>
      </c>
      <c r="L134" s="17">
        <v>3</v>
      </c>
      <c r="M134" s="16">
        <f t="shared" si="33"/>
        <v>2.64</v>
      </c>
      <c r="N134" s="17">
        <f t="shared" si="34"/>
        <v>8.5500000000000007</v>
      </c>
      <c r="O134" s="17">
        <f t="shared" si="35"/>
        <v>7.5299999999999994</v>
      </c>
      <c r="P134" s="18">
        <f t="shared" si="36"/>
        <v>124.19999999999999</v>
      </c>
      <c r="Q134" s="19">
        <f t="shared" si="37"/>
        <v>180</v>
      </c>
      <c r="R134" s="19">
        <f t="shared" si="38"/>
        <v>55.800000000000011</v>
      </c>
      <c r="S134" s="20"/>
      <c r="T134" s="21" t="s">
        <v>135</v>
      </c>
    </row>
    <row r="135" spans="1:20" ht="15.75" x14ac:dyDescent="0.25">
      <c r="A135" s="11">
        <f>[1]Лист4!A12</f>
        <v>1</v>
      </c>
      <c r="B135" s="12" t="str">
        <f>[1]Лист4!C12</f>
        <v>Роза ветвистая Доминики 60</v>
      </c>
      <c r="C135" s="13">
        <f>[1]Лист4!D12</f>
        <v>120</v>
      </c>
      <c r="D135" s="14">
        <f>[1]Лист4!F12</f>
        <v>0.51</v>
      </c>
      <c r="E135" s="15">
        <f t="shared" si="26"/>
        <v>61.2</v>
      </c>
      <c r="F135" s="15">
        <f t="shared" si="27"/>
        <v>4.2126000000000004E-2</v>
      </c>
      <c r="G135" s="16">
        <f t="shared" si="28"/>
        <v>1.05</v>
      </c>
      <c r="H135" s="16">
        <f t="shared" si="29"/>
        <v>3.1199999999999997</v>
      </c>
      <c r="I135" s="16">
        <f t="shared" si="30"/>
        <v>3.5999999999999996</v>
      </c>
      <c r="J135" s="16">
        <f t="shared" si="31"/>
        <v>3.09</v>
      </c>
      <c r="K135" s="16">
        <f t="shared" si="32"/>
        <v>4.4079999999999995</v>
      </c>
      <c r="L135" s="17">
        <f>G135*1.55</f>
        <v>1.6275000000000002</v>
      </c>
      <c r="M135" s="16">
        <f t="shared" si="33"/>
        <v>1.44</v>
      </c>
      <c r="N135" s="17">
        <f t="shared" si="34"/>
        <v>4.6399999999999997</v>
      </c>
      <c r="O135" s="17">
        <f t="shared" si="35"/>
        <v>4.09</v>
      </c>
      <c r="P135" s="18">
        <f t="shared" si="36"/>
        <v>126</v>
      </c>
      <c r="Q135" s="19">
        <f t="shared" si="37"/>
        <v>195.3</v>
      </c>
      <c r="R135" s="19">
        <f t="shared" si="38"/>
        <v>69.300000000000011</v>
      </c>
      <c r="S135" s="20"/>
      <c r="T135" s="21" t="s">
        <v>136</v>
      </c>
    </row>
    <row r="136" spans="1:20" ht="15.75" x14ac:dyDescent="0.25">
      <c r="A136" s="11">
        <f>[1]Лист4!A15</f>
        <v>1</v>
      </c>
      <c r="B136" s="12" t="str">
        <f>[1]Лист4!C15</f>
        <v>Роза ветвистая Квинси NL 60</v>
      </c>
      <c r="C136" s="13">
        <f>[1]Лист4!D15</f>
        <v>400</v>
      </c>
      <c r="D136" s="14">
        <f>[1]Лист4!F15</f>
        <v>0.53</v>
      </c>
      <c r="E136" s="15">
        <f t="shared" si="26"/>
        <v>212</v>
      </c>
      <c r="F136" s="15">
        <f t="shared" si="27"/>
        <v>4.3778000000000004E-2</v>
      </c>
      <c r="G136" s="16">
        <f t="shared" si="28"/>
        <v>1.08</v>
      </c>
      <c r="H136" s="16">
        <f t="shared" si="29"/>
        <v>3.21</v>
      </c>
      <c r="I136" s="16">
        <f t="shared" si="30"/>
        <v>3.6999999999999997</v>
      </c>
      <c r="J136" s="16">
        <f t="shared" si="31"/>
        <v>3.1799999999999997</v>
      </c>
      <c r="K136" s="16">
        <f t="shared" si="32"/>
        <v>4.3319999999999999</v>
      </c>
      <c r="L136" s="17">
        <v>1.6</v>
      </c>
      <c r="M136" s="16">
        <f t="shared" si="33"/>
        <v>1.41</v>
      </c>
      <c r="N136" s="17">
        <f t="shared" si="34"/>
        <v>4.5599999999999996</v>
      </c>
      <c r="O136" s="17">
        <f t="shared" si="35"/>
        <v>4.0199999999999996</v>
      </c>
      <c r="P136" s="18">
        <f t="shared" si="36"/>
        <v>432</v>
      </c>
      <c r="Q136" s="19">
        <f t="shared" si="37"/>
        <v>640</v>
      </c>
      <c r="R136" s="19">
        <f t="shared" si="38"/>
        <v>208</v>
      </c>
      <c r="S136" s="20"/>
      <c r="T136" s="21" t="s">
        <v>137</v>
      </c>
    </row>
    <row r="137" spans="1:20" ht="15.75" x14ac:dyDescent="0.25">
      <c r="A137" s="11">
        <f>[1]Лист4!A22</f>
        <v>1</v>
      </c>
      <c r="B137" s="12" t="str">
        <f>[1]Лист4!C22</f>
        <v>Роза ветвистая Лимузин NL 70</v>
      </c>
      <c r="C137" s="13">
        <f>[1]Лист4!D22</f>
        <v>160</v>
      </c>
      <c r="D137" s="14">
        <f>[1]Лист4!F22</f>
        <v>0.75</v>
      </c>
      <c r="E137" s="15">
        <f t="shared" si="26"/>
        <v>120</v>
      </c>
      <c r="F137" s="15">
        <f t="shared" si="27"/>
        <v>6.1950000000000005E-2</v>
      </c>
      <c r="G137" s="16">
        <f t="shared" si="28"/>
        <v>1.46</v>
      </c>
      <c r="H137" s="16">
        <f t="shared" si="29"/>
        <v>4.33</v>
      </c>
      <c r="I137" s="16">
        <f t="shared" si="30"/>
        <v>5</v>
      </c>
      <c r="J137" s="16">
        <f t="shared" si="31"/>
        <v>4.29</v>
      </c>
      <c r="K137" s="16">
        <f t="shared" si="32"/>
        <v>6.1274999999999995</v>
      </c>
      <c r="L137" s="17">
        <f>G137*1.55</f>
        <v>2.2629999999999999</v>
      </c>
      <c r="M137" s="16">
        <f t="shared" si="33"/>
        <v>2</v>
      </c>
      <c r="N137" s="17">
        <f t="shared" si="34"/>
        <v>6.45</v>
      </c>
      <c r="O137" s="17">
        <f t="shared" si="35"/>
        <v>5.68</v>
      </c>
      <c r="P137" s="18">
        <f t="shared" si="36"/>
        <v>233.6</v>
      </c>
      <c r="Q137" s="19">
        <f t="shared" si="37"/>
        <v>362.08</v>
      </c>
      <c r="R137" s="19">
        <f t="shared" si="38"/>
        <v>128.47999999999999</v>
      </c>
      <c r="S137" s="20"/>
      <c r="T137" s="21" t="s">
        <v>138</v>
      </c>
    </row>
    <row r="138" spans="1:20" ht="15.75" x14ac:dyDescent="0.25">
      <c r="A138" s="11">
        <f>[1]Лист4!A13</f>
        <v>1</v>
      </c>
      <c r="B138" s="12" t="str">
        <f>[1]Лист4!C13</f>
        <v>Роза ветвистая Марун NL 60</v>
      </c>
      <c r="C138" s="13">
        <f>[1]Лист4!D13</f>
        <v>30</v>
      </c>
      <c r="D138" s="14">
        <f>[1]Лист4!F13</f>
        <v>1.02</v>
      </c>
      <c r="E138" s="15">
        <f t="shared" si="26"/>
        <v>30.6</v>
      </c>
      <c r="F138" s="15">
        <f t="shared" si="27"/>
        <v>8.4252000000000007E-2</v>
      </c>
      <c r="G138" s="16">
        <f t="shared" si="28"/>
        <v>1.93</v>
      </c>
      <c r="H138" s="16">
        <f t="shared" si="29"/>
        <v>5.7299999999999995</v>
      </c>
      <c r="I138" s="16">
        <f t="shared" si="30"/>
        <v>6.6099999999999994</v>
      </c>
      <c r="J138" s="16">
        <f t="shared" si="31"/>
        <v>5.67</v>
      </c>
      <c r="K138" s="16">
        <f t="shared" si="32"/>
        <v>8.1034999999999986</v>
      </c>
      <c r="L138" s="17">
        <f>G138*1.55</f>
        <v>2.9914999999999998</v>
      </c>
      <c r="M138" s="16">
        <f t="shared" si="33"/>
        <v>2.6399999999999997</v>
      </c>
      <c r="N138" s="17">
        <f t="shared" si="34"/>
        <v>8.5299999999999994</v>
      </c>
      <c r="O138" s="17">
        <f t="shared" si="35"/>
        <v>7.51</v>
      </c>
      <c r="P138" s="18">
        <f t="shared" si="36"/>
        <v>57.9</v>
      </c>
      <c r="Q138" s="19">
        <f t="shared" si="37"/>
        <v>89.74499999999999</v>
      </c>
      <c r="R138" s="19">
        <f t="shared" si="38"/>
        <v>31.844999999999992</v>
      </c>
      <c r="S138" s="20"/>
      <c r="T138" s="21" t="s">
        <v>139</v>
      </c>
    </row>
    <row r="139" spans="1:20" ht="15.75" x14ac:dyDescent="0.25">
      <c r="A139" s="11">
        <f>[1]Лист4!A23</f>
        <v>1</v>
      </c>
      <c r="B139" s="12" t="str">
        <f>[1]Лист4!C23</f>
        <v>Роза ветвистая Ред Трендсеттер NL 70</v>
      </c>
      <c r="C139" s="13">
        <f>[1]Лист4!D23</f>
        <v>120</v>
      </c>
      <c r="D139" s="14">
        <f>[1]Лист4!F23</f>
        <v>0.66</v>
      </c>
      <c r="E139" s="15">
        <f t="shared" si="26"/>
        <v>79.2</v>
      </c>
      <c r="F139" s="15">
        <f t="shared" si="27"/>
        <v>5.4516000000000009E-2</v>
      </c>
      <c r="G139" s="16">
        <f t="shared" si="28"/>
        <v>1.31</v>
      </c>
      <c r="H139" s="16">
        <f t="shared" si="29"/>
        <v>3.8899999999999997</v>
      </c>
      <c r="I139" s="16">
        <f t="shared" si="30"/>
        <v>4.49</v>
      </c>
      <c r="J139" s="16">
        <f t="shared" si="31"/>
        <v>3.8499999999999996</v>
      </c>
      <c r="K139" s="16">
        <f t="shared" si="32"/>
        <v>5.5004999999999997</v>
      </c>
      <c r="L139" s="17">
        <f>G139*1.55</f>
        <v>2.0305</v>
      </c>
      <c r="M139" s="16">
        <f t="shared" si="33"/>
        <v>1.79</v>
      </c>
      <c r="N139" s="17">
        <f t="shared" si="34"/>
        <v>5.79</v>
      </c>
      <c r="O139" s="17">
        <f t="shared" si="35"/>
        <v>5.0999999999999996</v>
      </c>
      <c r="P139" s="18">
        <f t="shared" si="36"/>
        <v>157.20000000000002</v>
      </c>
      <c r="Q139" s="19">
        <f t="shared" si="37"/>
        <v>243.66</v>
      </c>
      <c r="R139" s="19">
        <f t="shared" si="38"/>
        <v>86.45999999999998</v>
      </c>
      <c r="S139" s="20"/>
      <c r="T139" s="21" t="s">
        <v>140</v>
      </c>
    </row>
    <row r="140" spans="1:20" ht="15.75" x14ac:dyDescent="0.25">
      <c r="A140" s="11">
        <f>[1]Лист4!A8</f>
        <v>1</v>
      </c>
      <c r="B140" s="12" t="str">
        <f>[1]Лист4!C8</f>
        <v>Роза ветвистая Рефлекс NL 50</v>
      </c>
      <c r="C140" s="13">
        <f>[1]Лист4!D8</f>
        <v>60</v>
      </c>
      <c r="D140" s="14">
        <f>[1]Лист4!F8</f>
        <v>0.51</v>
      </c>
      <c r="E140" s="15">
        <f t="shared" si="26"/>
        <v>30.6</v>
      </c>
      <c r="F140" s="15">
        <f t="shared" si="27"/>
        <v>4.2126000000000004E-2</v>
      </c>
      <c r="G140" s="16">
        <f t="shared" si="28"/>
        <v>1.05</v>
      </c>
      <c r="H140" s="16">
        <f t="shared" si="29"/>
        <v>3.1199999999999997</v>
      </c>
      <c r="I140" s="16">
        <f t="shared" si="30"/>
        <v>3.5999999999999996</v>
      </c>
      <c r="J140" s="16">
        <f t="shared" si="31"/>
        <v>3.09</v>
      </c>
      <c r="K140" s="16">
        <f t="shared" si="32"/>
        <v>4.1989999999999998</v>
      </c>
      <c r="L140" s="17">
        <v>1.55</v>
      </c>
      <c r="M140" s="16">
        <f t="shared" si="33"/>
        <v>1.37</v>
      </c>
      <c r="N140" s="17">
        <f t="shared" si="34"/>
        <v>4.42</v>
      </c>
      <c r="O140" s="17">
        <f t="shared" si="35"/>
        <v>3.8899999999999997</v>
      </c>
      <c r="P140" s="18">
        <f t="shared" si="36"/>
        <v>63</v>
      </c>
      <c r="Q140" s="19">
        <f t="shared" si="37"/>
        <v>93</v>
      </c>
      <c r="R140" s="19">
        <f t="shared" si="38"/>
        <v>30</v>
      </c>
      <c r="S140" s="20"/>
      <c r="T140" s="21" t="s">
        <v>141</v>
      </c>
    </row>
    <row r="141" spans="1:20" ht="15.75" x14ac:dyDescent="0.25">
      <c r="A141" s="11">
        <f>[1]Лист4!A17</f>
        <v>1</v>
      </c>
      <c r="B141" s="12" t="str">
        <f>[1]Лист4!C17</f>
        <v>Роза ветвистая Сноуфлейк NL 60</v>
      </c>
      <c r="C141" s="13">
        <f>[1]Лист4!D17</f>
        <v>80</v>
      </c>
      <c r="D141" s="14">
        <f>[1]Лист4!F17</f>
        <v>0.61</v>
      </c>
      <c r="E141" s="15">
        <f t="shared" si="26"/>
        <v>48.8</v>
      </c>
      <c r="F141" s="15">
        <f t="shared" si="27"/>
        <v>5.0386000000000007E-2</v>
      </c>
      <c r="G141" s="16">
        <f t="shared" si="28"/>
        <v>1.22</v>
      </c>
      <c r="H141" s="16">
        <f t="shared" si="29"/>
        <v>3.6199999999999997</v>
      </c>
      <c r="I141" s="16">
        <f t="shared" si="30"/>
        <v>4.18</v>
      </c>
      <c r="J141" s="16">
        <f t="shared" si="31"/>
        <v>3.59</v>
      </c>
      <c r="K141" s="16">
        <f t="shared" si="32"/>
        <v>5.0159999999999991</v>
      </c>
      <c r="L141" s="17">
        <v>1.85</v>
      </c>
      <c r="M141" s="16">
        <f t="shared" si="33"/>
        <v>1.6300000000000001</v>
      </c>
      <c r="N141" s="17">
        <f t="shared" si="34"/>
        <v>5.2799999999999994</v>
      </c>
      <c r="O141" s="17">
        <f t="shared" si="35"/>
        <v>4.6499999999999995</v>
      </c>
      <c r="P141" s="18">
        <f t="shared" si="36"/>
        <v>97.6</v>
      </c>
      <c r="Q141" s="19">
        <f t="shared" si="37"/>
        <v>148</v>
      </c>
      <c r="R141" s="19">
        <f t="shared" si="38"/>
        <v>50.400000000000006</v>
      </c>
      <c r="S141" s="20"/>
      <c r="T141" s="21" t="s">
        <v>142</v>
      </c>
    </row>
    <row r="142" spans="1:20" ht="15.75" x14ac:dyDescent="0.25">
      <c r="A142" s="11">
        <f>[1]Лист4!A2</f>
        <v>1</v>
      </c>
      <c r="B142" s="12" t="str">
        <f>[1]Лист4!C2</f>
        <v>Роза Родос NL 40</v>
      </c>
      <c r="C142" s="13">
        <f>[1]Лист4!D2</f>
        <v>840</v>
      </c>
      <c r="D142" s="14">
        <f>[1]Лист4!F2</f>
        <v>9.9999999999999992E-2</v>
      </c>
      <c r="E142" s="15">
        <f t="shared" si="26"/>
        <v>84</v>
      </c>
      <c r="F142" s="15">
        <f t="shared" si="27"/>
        <v>8.26E-3</v>
      </c>
      <c r="G142" s="16">
        <f>ROUND((((D142*1.15)*1.18)+F142+0.09)*1.2,2)</f>
        <v>0.28000000000000003</v>
      </c>
      <c r="H142" s="16">
        <f t="shared" si="29"/>
        <v>0.83</v>
      </c>
      <c r="I142" s="16">
        <f t="shared" si="30"/>
        <v>0.96</v>
      </c>
      <c r="J142" s="16">
        <f t="shared" si="31"/>
        <v>0.83</v>
      </c>
      <c r="K142" s="16">
        <f t="shared" si="32"/>
        <v>0</v>
      </c>
      <c r="L142" s="17"/>
      <c r="M142" s="16">
        <f t="shared" si="33"/>
        <v>0</v>
      </c>
      <c r="N142" s="17">
        <f t="shared" si="34"/>
        <v>0</v>
      </c>
      <c r="O142" s="17">
        <f t="shared" si="35"/>
        <v>0</v>
      </c>
      <c r="P142" s="18">
        <f t="shared" si="36"/>
        <v>235.20000000000002</v>
      </c>
      <c r="Q142" s="19">
        <f t="shared" si="37"/>
        <v>0</v>
      </c>
      <c r="R142" s="19">
        <f t="shared" si="38"/>
        <v>-235.20000000000002</v>
      </c>
      <c r="S142" s="20"/>
      <c r="T142" s="21" t="s">
        <v>143</v>
      </c>
    </row>
    <row r="143" spans="1:20" ht="15.75" x14ac:dyDescent="0.25">
      <c r="A143" s="11">
        <f>[1]Лист4!A5</f>
        <v>1</v>
      </c>
      <c r="B143" s="12" t="str">
        <f>[1]Лист4!C5</f>
        <v>Роза Сноушторм NL 50</v>
      </c>
      <c r="C143" s="13">
        <f>[1]Лист4!D5</f>
        <v>420</v>
      </c>
      <c r="D143" s="14">
        <f>[1]Лист4!F5</f>
        <v>9.9999999999999992E-2</v>
      </c>
      <c r="E143" s="15">
        <f t="shared" si="26"/>
        <v>42</v>
      </c>
      <c r="F143" s="15">
        <f t="shared" si="27"/>
        <v>8.26E-3</v>
      </c>
      <c r="G143" s="16">
        <f>ROUND((((D143*1.15)*1.18)+F143+0.1)*1.2,2)</f>
        <v>0.28999999999999998</v>
      </c>
      <c r="H143" s="16">
        <f t="shared" si="29"/>
        <v>0.86</v>
      </c>
      <c r="I143" s="16">
        <f t="shared" si="30"/>
        <v>1</v>
      </c>
      <c r="J143" s="16">
        <f t="shared" si="31"/>
        <v>0.86</v>
      </c>
      <c r="K143" s="16">
        <f t="shared" si="32"/>
        <v>0</v>
      </c>
      <c r="L143" s="17"/>
      <c r="M143" s="16">
        <f t="shared" si="33"/>
        <v>0</v>
      </c>
      <c r="N143" s="17">
        <f t="shared" si="34"/>
        <v>0</v>
      </c>
      <c r="O143" s="17">
        <f t="shared" si="35"/>
        <v>0</v>
      </c>
      <c r="P143" s="18">
        <f t="shared" si="36"/>
        <v>121.8</v>
      </c>
      <c r="Q143" s="19">
        <f t="shared" si="37"/>
        <v>0</v>
      </c>
      <c r="R143" s="19">
        <f t="shared" si="38"/>
        <v>-121.8</v>
      </c>
      <c r="S143" s="20"/>
      <c r="T143" s="21" t="s">
        <v>144</v>
      </c>
    </row>
    <row r="144" spans="1:20" ht="15.75" x14ac:dyDescent="0.25">
      <c r="A144" s="11">
        <f>[1]Лист4!A6</f>
        <v>1</v>
      </c>
      <c r="B144" s="12" t="str">
        <f>[1]Лист4!C6</f>
        <v>Роза Такази NL 50</v>
      </c>
      <c r="C144" s="13">
        <f>[1]Лист4!D6</f>
        <v>160</v>
      </c>
      <c r="D144" s="14">
        <f>[1]Лист4!F6</f>
        <v>0.15</v>
      </c>
      <c r="E144" s="15">
        <f t="shared" si="26"/>
        <v>24</v>
      </c>
      <c r="F144" s="15">
        <f t="shared" si="27"/>
        <v>1.239E-2</v>
      </c>
      <c r="G144" s="16">
        <f>ROUND((((D144*1.15)*1.18)+F144+0.1)*1.2,2)</f>
        <v>0.38</v>
      </c>
      <c r="H144" s="16">
        <f t="shared" si="29"/>
        <v>1.1300000000000001</v>
      </c>
      <c r="I144" s="16">
        <f t="shared" si="30"/>
        <v>1.3</v>
      </c>
      <c r="J144" s="16">
        <f t="shared" si="31"/>
        <v>1.1200000000000001</v>
      </c>
      <c r="K144" s="16">
        <f t="shared" si="32"/>
        <v>1.5959999999999999</v>
      </c>
      <c r="L144" s="17">
        <f t="shared" ref="L144:L152" si="39">G144*1.55</f>
        <v>0.58900000000000008</v>
      </c>
      <c r="M144" s="16">
        <f t="shared" si="33"/>
        <v>0.52</v>
      </c>
      <c r="N144" s="17">
        <f t="shared" si="34"/>
        <v>1.68</v>
      </c>
      <c r="O144" s="17">
        <f t="shared" si="35"/>
        <v>1.48</v>
      </c>
      <c r="P144" s="18">
        <f t="shared" si="36"/>
        <v>60.8</v>
      </c>
      <c r="Q144" s="19">
        <f t="shared" si="37"/>
        <v>94.240000000000009</v>
      </c>
      <c r="R144" s="19">
        <f t="shared" si="38"/>
        <v>33.440000000000012</v>
      </c>
      <c r="S144" s="20"/>
      <c r="T144" s="21" t="s">
        <v>145</v>
      </c>
    </row>
    <row r="145" spans="1:20" ht="15.75" x14ac:dyDescent="0.25">
      <c r="A145" s="11">
        <f>[1]Лист4!A213</f>
        <v>2</v>
      </c>
      <c r="B145" s="12" t="str">
        <f>[1]Лист4!C213</f>
        <v>Хризантема 1 Антонов</v>
      </c>
      <c r="C145" s="13">
        <f>[1]Лист4!D213</f>
        <v>360</v>
      </c>
      <c r="D145" s="14">
        <f>[1]Лист4!F213</f>
        <v>0.44</v>
      </c>
      <c r="E145" s="15">
        <f t="shared" si="26"/>
        <v>158.4</v>
      </c>
      <c r="F145" s="15">
        <f t="shared" si="27"/>
        <v>3.6344000000000001E-2</v>
      </c>
      <c r="G145" s="16">
        <f t="shared" ref="G145:G152" si="40">ROUND((((D145*1.15)*1.18)+F145+0.09)*1.2,2)</f>
        <v>0.87</v>
      </c>
      <c r="H145" s="16">
        <f t="shared" si="29"/>
        <v>2.5799999999999996</v>
      </c>
      <c r="I145" s="16">
        <f t="shared" si="30"/>
        <v>2.98</v>
      </c>
      <c r="J145" s="16">
        <f t="shared" si="31"/>
        <v>2.5599999999999996</v>
      </c>
      <c r="K145" s="16">
        <f t="shared" si="32"/>
        <v>3.6574999999999993</v>
      </c>
      <c r="L145" s="17">
        <f t="shared" si="39"/>
        <v>1.3485</v>
      </c>
      <c r="M145" s="16">
        <f t="shared" si="33"/>
        <v>1.19</v>
      </c>
      <c r="N145" s="17">
        <f t="shared" si="34"/>
        <v>3.8499999999999996</v>
      </c>
      <c r="O145" s="17">
        <f t="shared" si="35"/>
        <v>3.3899999999999997</v>
      </c>
      <c r="P145" s="18">
        <f t="shared" si="36"/>
        <v>313.2</v>
      </c>
      <c r="Q145" s="19">
        <f t="shared" si="37"/>
        <v>485.46000000000004</v>
      </c>
      <c r="R145" s="19">
        <f t="shared" si="38"/>
        <v>172.26000000000005</v>
      </c>
      <c r="S145" s="20"/>
      <c r="T145" s="22" t="s">
        <v>146</v>
      </c>
    </row>
    <row r="146" spans="1:20" ht="15.75" x14ac:dyDescent="0.25">
      <c r="A146" s="11">
        <f>[1]Лист4!A27</f>
        <v>2</v>
      </c>
      <c r="B146" s="12" t="str">
        <f>[1]Лист4!C27</f>
        <v>Хризантема 1 Магнум</v>
      </c>
      <c r="C146" s="13">
        <f>[1]Лист4!D27</f>
        <v>120</v>
      </c>
      <c r="D146" s="14">
        <f>[1]Лист4!F27</f>
        <v>0.45</v>
      </c>
      <c r="E146" s="15">
        <f t="shared" si="26"/>
        <v>54</v>
      </c>
      <c r="F146" s="15">
        <f t="shared" si="27"/>
        <v>3.7170000000000009E-2</v>
      </c>
      <c r="G146" s="16">
        <f t="shared" si="40"/>
        <v>0.89</v>
      </c>
      <c r="H146" s="16">
        <f t="shared" si="29"/>
        <v>2.6399999999999997</v>
      </c>
      <c r="I146" s="16">
        <f t="shared" si="30"/>
        <v>3.05</v>
      </c>
      <c r="J146" s="16">
        <f t="shared" si="31"/>
        <v>2.6199999999999997</v>
      </c>
      <c r="K146" s="16">
        <f t="shared" si="32"/>
        <v>3.7429999999999999</v>
      </c>
      <c r="L146" s="17">
        <f t="shared" si="39"/>
        <v>1.3795000000000002</v>
      </c>
      <c r="M146" s="16">
        <f t="shared" si="33"/>
        <v>1.22</v>
      </c>
      <c r="N146" s="17">
        <f t="shared" si="34"/>
        <v>3.94</v>
      </c>
      <c r="O146" s="17">
        <f t="shared" si="35"/>
        <v>3.4699999999999998</v>
      </c>
      <c r="P146" s="18">
        <f t="shared" si="36"/>
        <v>106.8</v>
      </c>
      <c r="Q146" s="19">
        <f t="shared" si="37"/>
        <v>165.54000000000002</v>
      </c>
      <c r="R146" s="19">
        <f t="shared" si="38"/>
        <v>58.740000000000023</v>
      </c>
      <c r="S146" s="20"/>
      <c r="T146" s="21" t="s">
        <v>48</v>
      </c>
    </row>
    <row r="147" spans="1:20" ht="15.75" x14ac:dyDescent="0.25">
      <c r="A147" s="11">
        <f>[1]Лист4!A29</f>
        <v>2</v>
      </c>
      <c r="B147" s="12" t="str">
        <f>[1]Лист4!C29</f>
        <v>Хризантема 1 Магнум желтый</v>
      </c>
      <c r="C147" s="13">
        <f>[1]Лист4!D29</f>
        <v>120</v>
      </c>
      <c r="D147" s="14">
        <f>[1]Лист4!F29</f>
        <v>0.47</v>
      </c>
      <c r="E147" s="15">
        <f t="shared" si="26"/>
        <v>56.4</v>
      </c>
      <c r="F147" s="15">
        <f t="shared" si="27"/>
        <v>3.8822000000000002E-2</v>
      </c>
      <c r="G147" s="16">
        <f t="shared" si="40"/>
        <v>0.92</v>
      </c>
      <c r="H147" s="16">
        <f t="shared" si="29"/>
        <v>2.73</v>
      </c>
      <c r="I147" s="16">
        <f t="shared" si="30"/>
        <v>3.15</v>
      </c>
      <c r="J147" s="16">
        <f t="shared" si="31"/>
        <v>2.71</v>
      </c>
      <c r="K147" s="16">
        <f t="shared" si="32"/>
        <v>3.8664999999999994</v>
      </c>
      <c r="L147" s="17">
        <f t="shared" si="39"/>
        <v>1.4260000000000002</v>
      </c>
      <c r="M147" s="16">
        <f t="shared" si="33"/>
        <v>1.26</v>
      </c>
      <c r="N147" s="17">
        <f t="shared" si="34"/>
        <v>4.0699999999999994</v>
      </c>
      <c r="O147" s="17">
        <f t="shared" si="35"/>
        <v>3.59</v>
      </c>
      <c r="P147" s="18">
        <f t="shared" si="36"/>
        <v>110.4</v>
      </c>
      <c r="Q147" s="19">
        <f t="shared" si="37"/>
        <v>171.12</v>
      </c>
      <c r="R147" s="19">
        <f t="shared" si="38"/>
        <v>60.72</v>
      </c>
      <c r="S147" s="20"/>
      <c r="T147" s="21" t="s">
        <v>147</v>
      </c>
    </row>
    <row r="148" spans="1:20" ht="15.75" x14ac:dyDescent="0.25">
      <c r="A148" s="11">
        <f>[1]Лист4!A31</f>
        <v>2</v>
      </c>
      <c r="B148" s="12" t="str">
        <f>[1]Лист4!C31</f>
        <v>Хризантема 1 Момоко</v>
      </c>
      <c r="C148" s="13">
        <f>[1]Лист4!D31</f>
        <v>50</v>
      </c>
      <c r="D148" s="14">
        <f>[1]Лист4!F31</f>
        <v>0.55000000000000004</v>
      </c>
      <c r="E148" s="15">
        <f t="shared" si="26"/>
        <v>27.500000000000004</v>
      </c>
      <c r="F148" s="15">
        <f t="shared" si="27"/>
        <v>4.5430000000000005E-2</v>
      </c>
      <c r="G148" s="16">
        <f t="shared" si="40"/>
        <v>1.06</v>
      </c>
      <c r="H148" s="16">
        <f t="shared" si="29"/>
        <v>3.15</v>
      </c>
      <c r="I148" s="16">
        <f t="shared" si="30"/>
        <v>3.63</v>
      </c>
      <c r="J148" s="16">
        <f t="shared" si="31"/>
        <v>3.1199999999999997</v>
      </c>
      <c r="K148" s="16">
        <f t="shared" si="32"/>
        <v>4.4554999999999989</v>
      </c>
      <c r="L148" s="17">
        <f t="shared" si="39"/>
        <v>1.6430000000000002</v>
      </c>
      <c r="M148" s="16">
        <f t="shared" si="33"/>
        <v>1.45</v>
      </c>
      <c r="N148" s="17">
        <f t="shared" si="34"/>
        <v>4.6899999999999995</v>
      </c>
      <c r="O148" s="17">
        <f t="shared" si="35"/>
        <v>4.13</v>
      </c>
      <c r="P148" s="18">
        <f t="shared" si="36"/>
        <v>53</v>
      </c>
      <c r="Q148" s="19">
        <f t="shared" si="37"/>
        <v>82.15</v>
      </c>
      <c r="R148" s="19">
        <f t="shared" si="38"/>
        <v>29.150000000000006</v>
      </c>
      <c r="S148" s="20"/>
      <c r="T148" s="21" t="s">
        <v>148</v>
      </c>
    </row>
    <row r="149" spans="1:20" ht="15.75" x14ac:dyDescent="0.25">
      <c r="A149" s="11">
        <f>[1]Лист4!A32</f>
        <v>2</v>
      </c>
      <c r="B149" s="12" t="str">
        <f>[1]Лист4!C32</f>
        <v>Хризантема 1 Плайтайм</v>
      </c>
      <c r="C149" s="13">
        <f>[1]Лист4!D32</f>
        <v>40</v>
      </c>
      <c r="D149" s="14">
        <f>[1]Лист4!F32</f>
        <v>0.55000000000000004</v>
      </c>
      <c r="E149" s="15">
        <f t="shared" si="26"/>
        <v>22</v>
      </c>
      <c r="F149" s="15">
        <f t="shared" si="27"/>
        <v>4.5430000000000005E-2</v>
      </c>
      <c r="G149" s="16">
        <f t="shared" si="40"/>
        <v>1.06</v>
      </c>
      <c r="H149" s="16">
        <f t="shared" si="29"/>
        <v>3.15</v>
      </c>
      <c r="I149" s="16">
        <f t="shared" si="30"/>
        <v>3.63</v>
      </c>
      <c r="J149" s="16">
        <f t="shared" si="31"/>
        <v>3.1199999999999997</v>
      </c>
      <c r="K149" s="16">
        <f t="shared" si="32"/>
        <v>4.4554999999999989</v>
      </c>
      <c r="L149" s="17">
        <f t="shared" si="39"/>
        <v>1.6430000000000002</v>
      </c>
      <c r="M149" s="16">
        <f t="shared" si="33"/>
        <v>1.45</v>
      </c>
      <c r="N149" s="17">
        <f t="shared" si="34"/>
        <v>4.6899999999999995</v>
      </c>
      <c r="O149" s="17">
        <f t="shared" si="35"/>
        <v>4.13</v>
      </c>
      <c r="P149" s="18">
        <f t="shared" si="36"/>
        <v>42.400000000000006</v>
      </c>
      <c r="Q149" s="19">
        <f t="shared" si="37"/>
        <v>65.720000000000013</v>
      </c>
      <c r="R149" s="19">
        <f t="shared" si="38"/>
        <v>23.320000000000007</v>
      </c>
      <c r="S149" s="20"/>
      <c r="T149" s="21" t="s">
        <v>149</v>
      </c>
    </row>
    <row r="150" spans="1:20" ht="15.75" x14ac:dyDescent="0.25">
      <c r="A150" s="11">
        <f>[1]Лист4!A33</f>
        <v>2</v>
      </c>
      <c r="B150" s="12" t="str">
        <f>[1]Лист4!C33</f>
        <v>Хризантема 1 Роксо</v>
      </c>
      <c r="C150" s="13">
        <f>[1]Лист4!D33</f>
        <v>40</v>
      </c>
      <c r="D150" s="14">
        <f>[1]Лист4!F33</f>
        <v>0.57999999999999996</v>
      </c>
      <c r="E150" s="15">
        <f t="shared" si="26"/>
        <v>23.2</v>
      </c>
      <c r="F150" s="15">
        <f t="shared" si="27"/>
        <v>4.7907999999999999E-2</v>
      </c>
      <c r="G150" s="16">
        <f t="shared" si="40"/>
        <v>1.1100000000000001</v>
      </c>
      <c r="H150" s="16">
        <f t="shared" si="29"/>
        <v>3.3</v>
      </c>
      <c r="I150" s="16">
        <f t="shared" si="30"/>
        <v>3.8</v>
      </c>
      <c r="J150" s="16">
        <f t="shared" si="31"/>
        <v>3.26</v>
      </c>
      <c r="K150" s="16">
        <f t="shared" si="32"/>
        <v>4.6645000000000003</v>
      </c>
      <c r="L150" s="17">
        <f t="shared" si="39"/>
        <v>1.7205000000000001</v>
      </c>
      <c r="M150" s="16">
        <f t="shared" si="33"/>
        <v>1.52</v>
      </c>
      <c r="N150" s="17">
        <f t="shared" si="34"/>
        <v>4.91</v>
      </c>
      <c r="O150" s="17">
        <f t="shared" si="35"/>
        <v>4.33</v>
      </c>
      <c r="P150" s="18">
        <f t="shared" si="36"/>
        <v>44.400000000000006</v>
      </c>
      <c r="Q150" s="19">
        <f t="shared" si="37"/>
        <v>68.820000000000007</v>
      </c>
      <c r="R150" s="19">
        <f t="shared" si="38"/>
        <v>24.42</v>
      </c>
      <c r="S150" s="20"/>
      <c r="T150" s="21" t="s">
        <v>150</v>
      </c>
    </row>
    <row r="151" spans="1:20" ht="15.75" x14ac:dyDescent="0.25">
      <c r="A151" s="11">
        <f>[1]Лист4!A35</f>
        <v>2</v>
      </c>
      <c r="B151" s="12" t="str">
        <f>[1]Лист4!C35</f>
        <v>Хризантема 1 Туту</v>
      </c>
      <c r="C151" s="13">
        <f>[1]Лист4!D35</f>
        <v>180</v>
      </c>
      <c r="D151" s="14">
        <f>[1]Лист4!F35</f>
        <v>0.56000000000000005</v>
      </c>
      <c r="E151" s="15">
        <f t="shared" si="26"/>
        <v>100.80000000000001</v>
      </c>
      <c r="F151" s="15">
        <f t="shared" si="27"/>
        <v>4.6256000000000005E-2</v>
      </c>
      <c r="G151" s="16">
        <f t="shared" si="40"/>
        <v>1.08</v>
      </c>
      <c r="H151" s="16">
        <f t="shared" si="29"/>
        <v>3.21</v>
      </c>
      <c r="I151" s="16">
        <f t="shared" si="30"/>
        <v>3.6999999999999997</v>
      </c>
      <c r="J151" s="16">
        <f t="shared" si="31"/>
        <v>3.1799999999999997</v>
      </c>
      <c r="K151" s="16">
        <f t="shared" si="32"/>
        <v>4.5409999999999995</v>
      </c>
      <c r="L151" s="17">
        <f t="shared" si="39"/>
        <v>1.6740000000000002</v>
      </c>
      <c r="M151" s="16">
        <f t="shared" si="33"/>
        <v>1.48</v>
      </c>
      <c r="N151" s="17">
        <f t="shared" si="34"/>
        <v>4.7799999999999994</v>
      </c>
      <c r="O151" s="17">
        <f t="shared" si="35"/>
        <v>4.21</v>
      </c>
      <c r="P151" s="18">
        <f t="shared" si="36"/>
        <v>194.4</v>
      </c>
      <c r="Q151" s="19">
        <f t="shared" si="37"/>
        <v>301.32000000000005</v>
      </c>
      <c r="R151" s="19">
        <f t="shared" si="38"/>
        <v>106.92000000000004</v>
      </c>
      <c r="S151" s="20"/>
      <c r="T151" s="21" t="s">
        <v>151</v>
      </c>
    </row>
    <row r="152" spans="1:20" ht="15.75" x14ac:dyDescent="0.25">
      <c r="A152" s="11">
        <f>[1]Лист4!A25</f>
        <v>2</v>
      </c>
      <c r="B152" s="12" t="str">
        <f>[1]Лист4!C25</f>
        <v>Хризантема 1 Этруско</v>
      </c>
      <c r="C152" s="13">
        <f>[1]Лист4!D25</f>
        <v>50</v>
      </c>
      <c r="D152" s="14">
        <f>[1]Лист4!F25</f>
        <v>0.62</v>
      </c>
      <c r="E152" s="15">
        <f t="shared" si="26"/>
        <v>31</v>
      </c>
      <c r="F152" s="15">
        <f t="shared" si="27"/>
        <v>5.1212000000000001E-2</v>
      </c>
      <c r="G152" s="16">
        <f t="shared" si="40"/>
        <v>1.18</v>
      </c>
      <c r="H152" s="16">
        <f t="shared" si="29"/>
        <v>3.5</v>
      </c>
      <c r="I152" s="16">
        <f t="shared" si="30"/>
        <v>4.04</v>
      </c>
      <c r="J152" s="16">
        <f t="shared" si="31"/>
        <v>3.4699999999999998</v>
      </c>
      <c r="K152" s="16">
        <f t="shared" si="32"/>
        <v>4.9589999999999996</v>
      </c>
      <c r="L152" s="17">
        <f t="shared" si="39"/>
        <v>1.829</v>
      </c>
      <c r="M152" s="16">
        <f t="shared" si="33"/>
        <v>1.61</v>
      </c>
      <c r="N152" s="17">
        <f t="shared" si="34"/>
        <v>5.22</v>
      </c>
      <c r="O152" s="17">
        <f t="shared" si="35"/>
        <v>4.5999999999999996</v>
      </c>
      <c r="P152" s="18">
        <f t="shared" si="36"/>
        <v>59</v>
      </c>
      <c r="Q152" s="19">
        <f t="shared" si="37"/>
        <v>91.45</v>
      </c>
      <c r="R152" s="19">
        <f t="shared" si="38"/>
        <v>32.450000000000003</v>
      </c>
      <c r="S152" s="20"/>
      <c r="T152" s="21" t="s">
        <v>152</v>
      </c>
    </row>
    <row r="153" spans="1:20" ht="15.75" x14ac:dyDescent="0.25">
      <c r="A153" s="11">
        <f>[1]Лист4!A40</f>
        <v>2</v>
      </c>
      <c r="B153" s="12" t="str">
        <f>[1]Лист4!C40</f>
        <v>Хризантема Алтай</v>
      </c>
      <c r="C153" s="13">
        <f>[1]Лист4!D40</f>
        <v>11260</v>
      </c>
      <c r="D153" s="14">
        <v>0.65</v>
      </c>
      <c r="E153" s="15">
        <f t="shared" si="26"/>
        <v>7319</v>
      </c>
      <c r="F153" s="15">
        <f t="shared" si="27"/>
        <v>5.3690000000000009E-2</v>
      </c>
      <c r="G153" s="16">
        <f>ROUND((((D153*1.15)*1.18)+F153+0.09+0.03)*1.2,2)</f>
        <v>1.27</v>
      </c>
      <c r="H153" s="16">
        <f t="shared" si="29"/>
        <v>3.7699999999999996</v>
      </c>
      <c r="I153" s="16">
        <f t="shared" si="30"/>
        <v>4.3499999999999996</v>
      </c>
      <c r="J153" s="16">
        <f t="shared" si="31"/>
        <v>3.73</v>
      </c>
      <c r="K153" s="16">
        <f t="shared" si="32"/>
        <v>4.7404999999999999</v>
      </c>
      <c r="L153" s="17">
        <v>1.75</v>
      </c>
      <c r="M153" s="16">
        <f t="shared" si="33"/>
        <v>1.54</v>
      </c>
      <c r="N153" s="17">
        <f t="shared" si="34"/>
        <v>4.99</v>
      </c>
      <c r="O153" s="17">
        <f t="shared" si="35"/>
        <v>4.3999999999999995</v>
      </c>
      <c r="P153" s="18">
        <f t="shared" si="36"/>
        <v>14300.2</v>
      </c>
      <c r="Q153" s="19">
        <f t="shared" si="37"/>
        <v>19705</v>
      </c>
      <c r="R153" s="19">
        <f t="shared" si="38"/>
        <v>5404.7999999999993</v>
      </c>
      <c r="S153" s="20"/>
      <c r="T153" s="21" t="s">
        <v>153</v>
      </c>
    </row>
    <row r="154" spans="1:20" ht="15.75" x14ac:dyDescent="0.25">
      <c r="A154" s="11">
        <f>[1]Лист4!A41</f>
        <v>2</v>
      </c>
      <c r="B154" s="12" t="str">
        <f>[1]Лист4!C41</f>
        <v>Хризантема алтай желтый</v>
      </c>
      <c r="C154" s="13">
        <f>[1]Лист4!D41</f>
        <v>480</v>
      </c>
      <c r="D154" s="14">
        <f>[1]Лист4!F41</f>
        <v>0.55000000000000004</v>
      </c>
      <c r="E154" s="15">
        <f t="shared" si="26"/>
        <v>264</v>
      </c>
      <c r="F154" s="15">
        <f t="shared" si="27"/>
        <v>4.5430000000000005E-2</v>
      </c>
      <c r="G154" s="16">
        <f t="shared" ref="G154:G180" si="41">ROUND((((D154*1.15)*1.18)+F154+0.09+0.03)*1.2,2)</f>
        <v>1.0900000000000001</v>
      </c>
      <c r="H154" s="16">
        <f t="shared" si="29"/>
        <v>3.2399999999999998</v>
      </c>
      <c r="I154" s="16">
        <f t="shared" si="30"/>
        <v>3.73</v>
      </c>
      <c r="J154" s="16">
        <f t="shared" si="31"/>
        <v>3.1999999999999997</v>
      </c>
      <c r="K154" s="16">
        <f t="shared" si="32"/>
        <v>4.1989999999999998</v>
      </c>
      <c r="L154" s="17">
        <f t="shared" ref="L154:L181" si="42">G154*1.42</f>
        <v>1.5478000000000001</v>
      </c>
      <c r="M154" s="16">
        <f t="shared" si="33"/>
        <v>1.37</v>
      </c>
      <c r="N154" s="17">
        <f t="shared" si="34"/>
        <v>4.42</v>
      </c>
      <c r="O154" s="17">
        <f t="shared" si="35"/>
        <v>3.8899999999999997</v>
      </c>
      <c r="P154" s="18">
        <f t="shared" si="36"/>
        <v>523.20000000000005</v>
      </c>
      <c r="Q154" s="19">
        <f t="shared" si="37"/>
        <v>742.94400000000007</v>
      </c>
      <c r="R154" s="19">
        <f t="shared" si="38"/>
        <v>219.74400000000003</v>
      </c>
      <c r="S154" s="20"/>
      <c r="T154" s="21" t="s">
        <v>154</v>
      </c>
    </row>
    <row r="155" spans="1:20" ht="15.75" x14ac:dyDescent="0.25">
      <c r="A155" s="11">
        <f>[1]Лист4!A43</f>
        <v>2</v>
      </c>
      <c r="B155" s="12" t="str">
        <f>[1]Лист4!C43</f>
        <v>Хризантема Балтика</v>
      </c>
      <c r="C155" s="13">
        <f>[1]Лист4!D43</f>
        <v>3280</v>
      </c>
      <c r="D155" s="14">
        <f>[1]Лист4!F43</f>
        <v>0.51</v>
      </c>
      <c r="E155" s="15">
        <f t="shared" si="26"/>
        <v>1672.8</v>
      </c>
      <c r="F155" s="15">
        <f t="shared" si="27"/>
        <v>4.2126000000000004E-2</v>
      </c>
      <c r="G155" s="16">
        <f t="shared" si="41"/>
        <v>1.03</v>
      </c>
      <c r="H155" s="16">
        <f t="shared" si="29"/>
        <v>3.0599999999999996</v>
      </c>
      <c r="I155" s="16">
        <f t="shared" si="30"/>
        <v>3.53</v>
      </c>
      <c r="J155" s="16">
        <f t="shared" si="31"/>
        <v>3.03</v>
      </c>
      <c r="K155" s="16">
        <f t="shared" si="32"/>
        <v>3.9614999999999996</v>
      </c>
      <c r="L155" s="17">
        <f t="shared" si="42"/>
        <v>1.4625999999999999</v>
      </c>
      <c r="M155" s="16">
        <f t="shared" si="33"/>
        <v>1.29</v>
      </c>
      <c r="N155" s="17">
        <f t="shared" si="34"/>
        <v>4.17</v>
      </c>
      <c r="O155" s="17">
        <f t="shared" si="35"/>
        <v>3.67</v>
      </c>
      <c r="P155" s="18">
        <f t="shared" si="36"/>
        <v>3378.4</v>
      </c>
      <c r="Q155" s="19">
        <f t="shared" si="37"/>
        <v>4797.3279999999995</v>
      </c>
      <c r="R155" s="19">
        <f t="shared" si="38"/>
        <v>1418.9279999999994</v>
      </c>
      <c r="S155" s="20"/>
      <c r="T155" s="21" t="s">
        <v>155</v>
      </c>
    </row>
    <row r="156" spans="1:20" ht="15.75" x14ac:dyDescent="0.25">
      <c r="A156" s="11">
        <f>[1]Лист4!A42</f>
        <v>2</v>
      </c>
      <c r="B156" s="12" t="str">
        <f>[1]Лист4!C42</f>
        <v>Хризантема Бэби</v>
      </c>
      <c r="C156" s="13">
        <f>[1]Лист4!D42</f>
        <v>320</v>
      </c>
      <c r="D156" s="14">
        <f>[1]Лист4!F42</f>
        <v>0.64</v>
      </c>
      <c r="E156" s="15">
        <f t="shared" si="26"/>
        <v>204.8</v>
      </c>
      <c r="F156" s="15">
        <f t="shared" si="27"/>
        <v>5.2864000000000001E-2</v>
      </c>
      <c r="G156" s="16">
        <f t="shared" si="41"/>
        <v>1.25</v>
      </c>
      <c r="H156" s="16">
        <f t="shared" si="29"/>
        <v>3.71</v>
      </c>
      <c r="I156" s="16">
        <f t="shared" si="30"/>
        <v>4.2799999999999994</v>
      </c>
      <c r="J156" s="16">
        <f t="shared" si="31"/>
        <v>3.67</v>
      </c>
      <c r="K156" s="16">
        <f t="shared" si="32"/>
        <v>4.8069999999999995</v>
      </c>
      <c r="L156" s="17">
        <f t="shared" si="42"/>
        <v>1.7749999999999999</v>
      </c>
      <c r="M156" s="16">
        <f t="shared" si="33"/>
        <v>1.57</v>
      </c>
      <c r="N156" s="17">
        <f t="shared" si="34"/>
        <v>5.0599999999999996</v>
      </c>
      <c r="O156" s="17">
        <f t="shared" si="35"/>
        <v>4.46</v>
      </c>
      <c r="P156" s="18">
        <f t="shared" si="36"/>
        <v>400</v>
      </c>
      <c r="Q156" s="19">
        <f t="shared" si="37"/>
        <v>568</v>
      </c>
      <c r="R156" s="19">
        <f t="shared" si="38"/>
        <v>168</v>
      </c>
      <c r="S156" s="20"/>
      <c r="T156" s="21" t="s">
        <v>156</v>
      </c>
    </row>
    <row r="157" spans="1:20" ht="15.75" x14ac:dyDescent="0.25">
      <c r="A157" s="11">
        <f>[1]Лист4!A48</f>
        <v>2</v>
      </c>
      <c r="B157" s="12" t="str">
        <f>[1]Лист4!C48</f>
        <v>Хризантема Делигрин</v>
      </c>
      <c r="C157" s="13">
        <f>[1]Лист4!D48</f>
        <v>160</v>
      </c>
      <c r="D157" s="14">
        <f>[1]Лист4!F48</f>
        <v>0.47</v>
      </c>
      <c r="E157" s="15">
        <f t="shared" si="26"/>
        <v>75.199999999999989</v>
      </c>
      <c r="F157" s="15">
        <f t="shared" si="27"/>
        <v>3.8822000000000002E-2</v>
      </c>
      <c r="G157" s="16">
        <f t="shared" si="41"/>
        <v>0.96</v>
      </c>
      <c r="H157" s="16">
        <f t="shared" si="29"/>
        <v>2.8499999999999996</v>
      </c>
      <c r="I157" s="16">
        <f t="shared" si="30"/>
        <v>3.2899999999999996</v>
      </c>
      <c r="J157" s="16">
        <f t="shared" si="31"/>
        <v>2.82</v>
      </c>
      <c r="K157" s="16">
        <f t="shared" si="32"/>
        <v>3.6954999999999996</v>
      </c>
      <c r="L157" s="17">
        <f t="shared" si="42"/>
        <v>1.3632</v>
      </c>
      <c r="M157" s="16">
        <f t="shared" si="33"/>
        <v>1.2</v>
      </c>
      <c r="N157" s="17">
        <f t="shared" si="34"/>
        <v>3.8899999999999997</v>
      </c>
      <c r="O157" s="17">
        <f t="shared" si="35"/>
        <v>3.4299999999999997</v>
      </c>
      <c r="P157" s="18">
        <f t="shared" si="36"/>
        <v>153.6</v>
      </c>
      <c r="Q157" s="19">
        <f t="shared" si="37"/>
        <v>218.11199999999999</v>
      </c>
      <c r="R157" s="19">
        <f t="shared" si="38"/>
        <v>64.512</v>
      </c>
      <c r="S157" s="20"/>
      <c r="T157" s="21" t="s">
        <v>157</v>
      </c>
    </row>
    <row r="158" spans="1:20" ht="15.75" x14ac:dyDescent="0.25">
      <c r="A158" s="11">
        <f>[1]Лист4!A51</f>
        <v>2</v>
      </c>
      <c r="B158" s="12" t="str">
        <f>[1]Лист4!C51</f>
        <v>Хризантема Калимба</v>
      </c>
      <c r="C158" s="13">
        <f>[1]Лист4!D51</f>
        <v>240</v>
      </c>
      <c r="D158" s="14">
        <f>[1]Лист4!F51</f>
        <v>0.64</v>
      </c>
      <c r="E158" s="15">
        <f t="shared" si="26"/>
        <v>153.6</v>
      </c>
      <c r="F158" s="15">
        <f t="shared" si="27"/>
        <v>5.2864000000000001E-2</v>
      </c>
      <c r="G158" s="16">
        <f t="shared" si="41"/>
        <v>1.25</v>
      </c>
      <c r="H158" s="16">
        <f t="shared" si="29"/>
        <v>3.71</v>
      </c>
      <c r="I158" s="16">
        <f t="shared" si="30"/>
        <v>4.2799999999999994</v>
      </c>
      <c r="J158" s="16">
        <f t="shared" si="31"/>
        <v>3.67</v>
      </c>
      <c r="K158" s="16">
        <f t="shared" si="32"/>
        <v>4.8069999999999995</v>
      </c>
      <c r="L158" s="17">
        <f t="shared" si="42"/>
        <v>1.7749999999999999</v>
      </c>
      <c r="M158" s="16">
        <f t="shared" si="33"/>
        <v>1.57</v>
      </c>
      <c r="N158" s="17">
        <f t="shared" si="34"/>
        <v>5.0599999999999996</v>
      </c>
      <c r="O158" s="17">
        <f t="shared" si="35"/>
        <v>4.46</v>
      </c>
      <c r="P158" s="18">
        <f t="shared" si="36"/>
        <v>300</v>
      </c>
      <c r="Q158" s="19">
        <f t="shared" si="37"/>
        <v>426</v>
      </c>
      <c r="R158" s="19">
        <f t="shared" si="38"/>
        <v>126</v>
      </c>
      <c r="S158" s="20"/>
      <c r="T158" s="21" t="s">
        <v>158</v>
      </c>
    </row>
    <row r="159" spans="1:20" ht="15.75" x14ac:dyDescent="0.25">
      <c r="A159" s="11">
        <f>[1]Лист4!A52</f>
        <v>2</v>
      </c>
      <c r="B159" s="12" t="str">
        <f>[1]Лист4!C52</f>
        <v>Хризантема Кеннеди</v>
      </c>
      <c r="C159" s="13">
        <f>[1]Лист4!D52</f>
        <v>2480</v>
      </c>
      <c r="D159" s="14">
        <f>[1]Лист4!F52</f>
        <v>0.47000000000000003</v>
      </c>
      <c r="E159" s="15">
        <f t="shared" si="26"/>
        <v>1165.6000000000001</v>
      </c>
      <c r="F159" s="15">
        <f t="shared" si="27"/>
        <v>3.8822000000000002E-2</v>
      </c>
      <c r="G159" s="16">
        <f t="shared" si="41"/>
        <v>0.96</v>
      </c>
      <c r="H159" s="16">
        <f t="shared" si="29"/>
        <v>2.8499999999999996</v>
      </c>
      <c r="I159" s="16">
        <f t="shared" si="30"/>
        <v>3.2899999999999996</v>
      </c>
      <c r="J159" s="16">
        <f t="shared" si="31"/>
        <v>2.82</v>
      </c>
      <c r="K159" s="16">
        <f t="shared" si="32"/>
        <v>3.6574999999999993</v>
      </c>
      <c r="L159" s="17">
        <v>1.35</v>
      </c>
      <c r="M159" s="16">
        <f t="shared" si="33"/>
        <v>1.19</v>
      </c>
      <c r="N159" s="17">
        <f t="shared" si="34"/>
        <v>3.8499999999999996</v>
      </c>
      <c r="O159" s="17">
        <f t="shared" si="35"/>
        <v>3.3899999999999997</v>
      </c>
      <c r="P159" s="18">
        <f t="shared" si="36"/>
        <v>2380.7999999999997</v>
      </c>
      <c r="Q159" s="19">
        <f t="shared" si="37"/>
        <v>3348</v>
      </c>
      <c r="R159" s="19">
        <f t="shared" si="38"/>
        <v>967.20000000000027</v>
      </c>
      <c r="S159" s="20"/>
      <c r="T159" s="21" t="s">
        <v>159</v>
      </c>
    </row>
    <row r="160" spans="1:20" ht="15.75" x14ac:dyDescent="0.25">
      <c r="A160" s="11">
        <f>[1]Лист4!A53</f>
        <v>2</v>
      </c>
      <c r="B160" s="12" t="str">
        <f>[1]Лист4!C53</f>
        <v>Хризантема Кеннеди роузи</v>
      </c>
      <c r="C160" s="13">
        <f>[1]Лист4!D53</f>
        <v>160</v>
      </c>
      <c r="D160" s="14">
        <f>[1]Лист4!F53</f>
        <v>0.52</v>
      </c>
      <c r="E160" s="15">
        <f t="shared" si="26"/>
        <v>83.2</v>
      </c>
      <c r="F160" s="15">
        <f t="shared" si="27"/>
        <v>4.2952000000000004E-2</v>
      </c>
      <c r="G160" s="16">
        <f t="shared" si="41"/>
        <v>1.04</v>
      </c>
      <c r="H160" s="16">
        <f t="shared" si="29"/>
        <v>3.09</v>
      </c>
      <c r="I160" s="16">
        <f t="shared" si="30"/>
        <v>3.5599999999999996</v>
      </c>
      <c r="J160" s="16">
        <f t="shared" si="31"/>
        <v>3.0599999999999996</v>
      </c>
      <c r="K160" s="16">
        <f t="shared" si="32"/>
        <v>3.9994999999999998</v>
      </c>
      <c r="L160" s="17">
        <f t="shared" si="42"/>
        <v>1.4767999999999999</v>
      </c>
      <c r="M160" s="16">
        <f t="shared" si="33"/>
        <v>1.3</v>
      </c>
      <c r="N160" s="17">
        <f t="shared" si="34"/>
        <v>4.21</v>
      </c>
      <c r="O160" s="17">
        <f t="shared" si="35"/>
        <v>3.71</v>
      </c>
      <c r="P160" s="18">
        <f t="shared" si="36"/>
        <v>166.4</v>
      </c>
      <c r="Q160" s="19">
        <f t="shared" si="37"/>
        <v>236.28799999999998</v>
      </c>
      <c r="R160" s="19">
        <f t="shared" si="38"/>
        <v>69.887999999999977</v>
      </c>
      <c r="S160" s="20"/>
      <c r="T160" s="21" t="s">
        <v>160</v>
      </c>
    </row>
    <row r="161" spans="1:20" ht="15.75" x14ac:dyDescent="0.25">
      <c r="A161" s="11">
        <f>[1]Лист4!A46</f>
        <v>2</v>
      </c>
      <c r="B161" s="12" t="str">
        <f>[1]Лист4!C46</f>
        <v>Хризантема Командер</v>
      </c>
      <c r="C161" s="13">
        <f>[1]Лист4!D46</f>
        <v>160</v>
      </c>
      <c r="D161" s="14">
        <f>[1]Лист4!F46</f>
        <v>0.49</v>
      </c>
      <c r="E161" s="15">
        <f t="shared" si="26"/>
        <v>78.400000000000006</v>
      </c>
      <c r="F161" s="15">
        <f t="shared" si="27"/>
        <v>4.0473999999999996E-2</v>
      </c>
      <c r="G161" s="16">
        <f t="shared" si="41"/>
        <v>0.99</v>
      </c>
      <c r="H161" s="16">
        <f t="shared" si="29"/>
        <v>2.94</v>
      </c>
      <c r="I161" s="16">
        <f t="shared" si="30"/>
        <v>3.3899999999999997</v>
      </c>
      <c r="J161" s="16">
        <f t="shared" si="31"/>
        <v>2.9099999999999997</v>
      </c>
      <c r="K161" s="16">
        <f t="shared" si="32"/>
        <v>3.8094999999999994</v>
      </c>
      <c r="L161" s="17">
        <f t="shared" si="42"/>
        <v>1.4057999999999999</v>
      </c>
      <c r="M161" s="16">
        <f t="shared" si="33"/>
        <v>1.24</v>
      </c>
      <c r="N161" s="17">
        <f t="shared" si="34"/>
        <v>4.01</v>
      </c>
      <c r="O161" s="17">
        <f t="shared" si="35"/>
        <v>3.53</v>
      </c>
      <c r="P161" s="18">
        <f t="shared" si="36"/>
        <v>158.4</v>
      </c>
      <c r="Q161" s="19">
        <f t="shared" si="37"/>
        <v>224.928</v>
      </c>
      <c r="R161" s="19">
        <f t="shared" si="38"/>
        <v>66.527999999999992</v>
      </c>
      <c r="S161" s="20"/>
      <c r="T161" s="21" t="s">
        <v>161</v>
      </c>
    </row>
    <row r="162" spans="1:20" ht="15.75" x14ac:dyDescent="0.25">
      <c r="A162" s="11">
        <f>[1]Лист4!A47</f>
        <v>2</v>
      </c>
      <c r="B162" s="12" t="str">
        <f>[1]Лист4!C47</f>
        <v>Хризантема Копа</v>
      </c>
      <c r="C162" s="13">
        <f>[1]Лист4!D47</f>
        <v>80</v>
      </c>
      <c r="D162" s="14">
        <f>[1]Лист4!F47</f>
        <v>0.47</v>
      </c>
      <c r="E162" s="15">
        <f t="shared" si="26"/>
        <v>37.599999999999994</v>
      </c>
      <c r="F162" s="15">
        <f t="shared" si="27"/>
        <v>3.8822000000000002E-2</v>
      </c>
      <c r="G162" s="16">
        <f t="shared" si="41"/>
        <v>0.96</v>
      </c>
      <c r="H162" s="16">
        <f t="shared" si="29"/>
        <v>2.8499999999999996</v>
      </c>
      <c r="I162" s="16">
        <f t="shared" si="30"/>
        <v>3.2899999999999996</v>
      </c>
      <c r="J162" s="16">
        <f t="shared" si="31"/>
        <v>2.82</v>
      </c>
      <c r="K162" s="16">
        <f t="shared" si="32"/>
        <v>3.6954999999999996</v>
      </c>
      <c r="L162" s="17">
        <f t="shared" si="42"/>
        <v>1.3632</v>
      </c>
      <c r="M162" s="16">
        <f t="shared" si="33"/>
        <v>1.2</v>
      </c>
      <c r="N162" s="17">
        <f t="shared" si="34"/>
        <v>3.8899999999999997</v>
      </c>
      <c r="O162" s="17">
        <f t="shared" si="35"/>
        <v>3.4299999999999997</v>
      </c>
      <c r="P162" s="18">
        <f t="shared" si="36"/>
        <v>76.8</v>
      </c>
      <c r="Q162" s="19">
        <f t="shared" si="37"/>
        <v>109.056</v>
      </c>
      <c r="R162" s="19">
        <f t="shared" si="38"/>
        <v>32.256</v>
      </c>
      <c r="S162" s="20"/>
      <c r="T162" s="21" t="s">
        <v>162</v>
      </c>
    </row>
    <row r="163" spans="1:20" ht="15.75" x14ac:dyDescent="0.25">
      <c r="A163" s="11">
        <f>[1]Лист4!A55</f>
        <v>2</v>
      </c>
      <c r="B163" s="12" t="str">
        <f>[1]Лист4!C55</f>
        <v>Хризантема ЛетсГоу Пинк</v>
      </c>
      <c r="C163" s="13">
        <f>[1]Лист4!D55</f>
        <v>80</v>
      </c>
      <c r="D163" s="14">
        <f>[1]Лист4!F55</f>
        <v>0.66</v>
      </c>
      <c r="E163" s="15">
        <f t="shared" si="26"/>
        <v>52.800000000000004</v>
      </c>
      <c r="F163" s="15">
        <f t="shared" si="27"/>
        <v>5.4516000000000009E-2</v>
      </c>
      <c r="G163" s="16">
        <f t="shared" si="41"/>
        <v>1.28</v>
      </c>
      <c r="H163" s="16">
        <f t="shared" si="29"/>
        <v>3.8</v>
      </c>
      <c r="I163" s="16">
        <f t="shared" si="30"/>
        <v>4.38</v>
      </c>
      <c r="J163" s="16">
        <f t="shared" si="31"/>
        <v>3.76</v>
      </c>
      <c r="K163" s="16">
        <f t="shared" si="32"/>
        <v>4.9304999999999994</v>
      </c>
      <c r="L163" s="17">
        <f t="shared" si="42"/>
        <v>1.8175999999999999</v>
      </c>
      <c r="M163" s="16">
        <f t="shared" si="33"/>
        <v>1.6</v>
      </c>
      <c r="N163" s="17">
        <f t="shared" si="34"/>
        <v>5.1899999999999995</v>
      </c>
      <c r="O163" s="17">
        <f t="shared" si="35"/>
        <v>4.5699999999999994</v>
      </c>
      <c r="P163" s="18">
        <f t="shared" si="36"/>
        <v>102.4</v>
      </c>
      <c r="Q163" s="19">
        <f t="shared" si="37"/>
        <v>145.40799999999999</v>
      </c>
      <c r="R163" s="19">
        <f t="shared" si="38"/>
        <v>43.007999999999981</v>
      </c>
      <c r="S163" s="20"/>
      <c r="T163" s="21" t="s">
        <v>163</v>
      </c>
    </row>
    <row r="164" spans="1:20" ht="15.75" x14ac:dyDescent="0.25">
      <c r="A164" s="11">
        <f>[1]Лист4!A56</f>
        <v>2</v>
      </c>
      <c r="B164" s="12" t="str">
        <f>[1]Лист4!C56</f>
        <v>Хризантема Лион кинг</v>
      </c>
      <c r="C164" s="13">
        <f>[1]Лист4!D56</f>
        <v>80</v>
      </c>
      <c r="D164" s="14">
        <f>[1]Лист4!F56</f>
        <v>0.54</v>
      </c>
      <c r="E164" s="15">
        <f t="shared" si="26"/>
        <v>43.2</v>
      </c>
      <c r="F164" s="15">
        <f t="shared" si="27"/>
        <v>4.4604000000000005E-2</v>
      </c>
      <c r="G164" s="16">
        <f t="shared" si="41"/>
        <v>1.08</v>
      </c>
      <c r="H164" s="16">
        <f t="shared" si="29"/>
        <v>3.21</v>
      </c>
      <c r="I164" s="16">
        <f t="shared" si="30"/>
        <v>3.6999999999999997</v>
      </c>
      <c r="J164" s="16">
        <f t="shared" si="31"/>
        <v>3.1799999999999997</v>
      </c>
      <c r="K164" s="16">
        <f t="shared" si="32"/>
        <v>4.1609999999999996</v>
      </c>
      <c r="L164" s="17">
        <f t="shared" si="42"/>
        <v>1.5336000000000001</v>
      </c>
      <c r="M164" s="16">
        <f t="shared" si="33"/>
        <v>1.35</v>
      </c>
      <c r="N164" s="17">
        <f t="shared" si="34"/>
        <v>4.38</v>
      </c>
      <c r="O164" s="17">
        <f t="shared" si="35"/>
        <v>3.86</v>
      </c>
      <c r="P164" s="18">
        <f t="shared" si="36"/>
        <v>86.4</v>
      </c>
      <c r="Q164" s="19">
        <f t="shared" si="37"/>
        <v>122.688</v>
      </c>
      <c r="R164" s="19">
        <f t="shared" si="38"/>
        <v>36.287999999999997</v>
      </c>
      <c r="S164" s="20"/>
      <c r="T164" s="21" t="s">
        <v>164</v>
      </c>
    </row>
    <row r="165" spans="1:20" ht="15.75" x14ac:dyDescent="0.25">
      <c r="A165" s="11">
        <f>[1]Лист4!A54</f>
        <v>2</v>
      </c>
      <c r="B165" s="12" t="str">
        <f>[1]Лист4!C54</f>
        <v>Хризантема Лэтитби</v>
      </c>
      <c r="C165" s="13">
        <f>[1]Лист4!D54</f>
        <v>80</v>
      </c>
      <c r="D165" s="14">
        <f>[1]Лист4!F54</f>
        <v>0.61</v>
      </c>
      <c r="E165" s="15">
        <f t="shared" si="26"/>
        <v>48.8</v>
      </c>
      <c r="F165" s="15">
        <f t="shared" si="27"/>
        <v>5.0386000000000007E-2</v>
      </c>
      <c r="G165" s="16">
        <f t="shared" si="41"/>
        <v>1.2</v>
      </c>
      <c r="H165" s="16">
        <f t="shared" si="29"/>
        <v>3.5599999999999996</v>
      </c>
      <c r="I165" s="16">
        <f t="shared" si="30"/>
        <v>4.1099999999999994</v>
      </c>
      <c r="J165" s="16">
        <f t="shared" si="31"/>
        <v>3.53</v>
      </c>
      <c r="K165" s="16">
        <f t="shared" si="32"/>
        <v>4.6169999999999991</v>
      </c>
      <c r="L165" s="17">
        <f t="shared" si="42"/>
        <v>1.704</v>
      </c>
      <c r="M165" s="16">
        <f t="shared" si="33"/>
        <v>1.5</v>
      </c>
      <c r="N165" s="17">
        <f t="shared" si="34"/>
        <v>4.8599999999999994</v>
      </c>
      <c r="O165" s="17">
        <f t="shared" si="35"/>
        <v>4.2799999999999994</v>
      </c>
      <c r="P165" s="18">
        <f t="shared" si="36"/>
        <v>96</v>
      </c>
      <c r="Q165" s="19">
        <f t="shared" si="37"/>
        <v>136.32</v>
      </c>
      <c r="R165" s="19">
        <f t="shared" si="38"/>
        <v>40.319999999999993</v>
      </c>
      <c r="S165" s="20"/>
      <c r="T165" s="21" t="s">
        <v>165</v>
      </c>
    </row>
    <row r="166" spans="1:20" ht="15.75" x14ac:dyDescent="0.25">
      <c r="A166" s="11">
        <f>[1]Лист4!A57</f>
        <v>2</v>
      </c>
      <c r="B166" s="12" t="str">
        <f>[1]Лист4!C57</f>
        <v>Хризантема Мирана</v>
      </c>
      <c r="C166" s="13">
        <f>[1]Лист4!D57</f>
        <v>400</v>
      </c>
      <c r="D166" s="14">
        <f>[1]Лист4!F57</f>
        <v>0.43</v>
      </c>
      <c r="E166" s="15">
        <f t="shared" si="26"/>
        <v>172</v>
      </c>
      <c r="F166" s="15">
        <f t="shared" si="27"/>
        <v>3.5518000000000001E-2</v>
      </c>
      <c r="G166" s="16">
        <f t="shared" si="41"/>
        <v>0.89</v>
      </c>
      <c r="H166" s="16">
        <f t="shared" si="29"/>
        <v>2.6399999999999997</v>
      </c>
      <c r="I166" s="16">
        <f t="shared" si="30"/>
        <v>3.05</v>
      </c>
      <c r="J166" s="16">
        <f t="shared" si="31"/>
        <v>2.6199999999999997</v>
      </c>
      <c r="K166" s="16">
        <f t="shared" si="32"/>
        <v>3.3914999999999997</v>
      </c>
      <c r="L166" s="17">
        <v>1.25</v>
      </c>
      <c r="M166" s="16">
        <f t="shared" si="33"/>
        <v>1.1000000000000001</v>
      </c>
      <c r="N166" s="17">
        <f t="shared" si="34"/>
        <v>3.57</v>
      </c>
      <c r="O166" s="17">
        <f t="shared" si="35"/>
        <v>3.15</v>
      </c>
      <c r="P166" s="18">
        <f t="shared" si="36"/>
        <v>356</v>
      </c>
      <c r="Q166" s="19">
        <f t="shared" si="37"/>
        <v>500</v>
      </c>
      <c r="R166" s="19">
        <f t="shared" si="38"/>
        <v>144</v>
      </c>
      <c r="S166" s="20"/>
      <c r="T166" s="21" t="s">
        <v>166</v>
      </c>
    </row>
    <row r="167" spans="1:20" ht="15.75" x14ac:dyDescent="0.25">
      <c r="A167" s="11">
        <f>[1]Лист4!A58</f>
        <v>2</v>
      </c>
      <c r="B167" s="12" t="str">
        <f>[1]Лист4!C58</f>
        <v>Хризантема Ньютон</v>
      </c>
      <c r="C167" s="13">
        <f>[1]Лист4!D58</f>
        <v>400</v>
      </c>
      <c r="D167" s="14">
        <f>[1]Лист4!F58</f>
        <v>1.01</v>
      </c>
      <c r="E167" s="15">
        <f t="shared" si="26"/>
        <v>404</v>
      </c>
      <c r="F167" s="15">
        <f t="shared" si="27"/>
        <v>8.3426E-2</v>
      </c>
      <c r="G167" s="16">
        <f t="shared" si="41"/>
        <v>1.89</v>
      </c>
      <c r="H167" s="16">
        <f t="shared" si="29"/>
        <v>5.6099999999999994</v>
      </c>
      <c r="I167" s="16">
        <f t="shared" si="30"/>
        <v>6.47</v>
      </c>
      <c r="J167" s="16">
        <f t="shared" si="31"/>
        <v>5.55</v>
      </c>
      <c r="K167" s="16">
        <f t="shared" si="32"/>
        <v>7.2674999999999992</v>
      </c>
      <c r="L167" s="17">
        <f t="shared" si="42"/>
        <v>2.6837999999999997</v>
      </c>
      <c r="M167" s="16">
        <f t="shared" si="33"/>
        <v>2.3699999999999997</v>
      </c>
      <c r="N167" s="17">
        <f t="shared" si="34"/>
        <v>7.6499999999999995</v>
      </c>
      <c r="O167" s="17">
        <f t="shared" si="35"/>
        <v>6.74</v>
      </c>
      <c r="P167" s="18">
        <f t="shared" si="36"/>
        <v>756</v>
      </c>
      <c r="Q167" s="19">
        <f t="shared" si="37"/>
        <v>1073.52</v>
      </c>
      <c r="R167" s="19">
        <f t="shared" si="38"/>
        <v>317.52</v>
      </c>
      <c r="S167" s="20"/>
      <c r="T167" s="21" t="s">
        <v>167</v>
      </c>
    </row>
    <row r="168" spans="1:20" ht="15.75" x14ac:dyDescent="0.25">
      <c r="A168" s="11">
        <f>[1]Лист4!A59</f>
        <v>2</v>
      </c>
      <c r="B168" s="12" t="str">
        <f>[1]Лист4!C59</f>
        <v>Хризантема Оптимист</v>
      </c>
      <c r="C168" s="13">
        <f>[1]Лист4!D59</f>
        <v>80</v>
      </c>
      <c r="D168" s="14">
        <f>[1]Лист4!F59</f>
        <v>0.6</v>
      </c>
      <c r="E168" s="15">
        <f t="shared" si="26"/>
        <v>48</v>
      </c>
      <c r="F168" s="15">
        <f t="shared" si="27"/>
        <v>4.956E-2</v>
      </c>
      <c r="G168" s="16">
        <f t="shared" si="41"/>
        <v>1.18</v>
      </c>
      <c r="H168" s="16">
        <f t="shared" si="29"/>
        <v>3.5</v>
      </c>
      <c r="I168" s="16">
        <f t="shared" si="30"/>
        <v>4.04</v>
      </c>
      <c r="J168" s="16">
        <f t="shared" si="31"/>
        <v>3.4699999999999998</v>
      </c>
      <c r="K168" s="16">
        <f t="shared" si="32"/>
        <v>4.5409999999999995</v>
      </c>
      <c r="L168" s="17">
        <f t="shared" si="42"/>
        <v>1.6755999999999998</v>
      </c>
      <c r="M168" s="16">
        <f t="shared" si="33"/>
        <v>1.48</v>
      </c>
      <c r="N168" s="17">
        <f t="shared" si="34"/>
        <v>4.7799999999999994</v>
      </c>
      <c r="O168" s="17">
        <f t="shared" si="35"/>
        <v>4.21</v>
      </c>
      <c r="P168" s="18">
        <f t="shared" si="36"/>
        <v>94.399999999999991</v>
      </c>
      <c r="Q168" s="19">
        <f t="shared" si="37"/>
        <v>134.04799999999997</v>
      </c>
      <c r="R168" s="19">
        <f t="shared" si="38"/>
        <v>39.647999999999982</v>
      </c>
      <c r="S168" s="20"/>
      <c r="T168" s="21" t="s">
        <v>168</v>
      </c>
    </row>
    <row r="169" spans="1:20" ht="15.75" x14ac:dyDescent="0.25">
      <c r="A169" s="11">
        <f>[1]Лист4!A60</f>
        <v>2</v>
      </c>
      <c r="B169" s="12" t="str">
        <f>[1]Лист4!C60</f>
        <v>Хризантема Пастель пинк</v>
      </c>
      <c r="C169" s="13">
        <f>[1]Лист4!D60</f>
        <v>240</v>
      </c>
      <c r="D169" s="14">
        <f>[1]Лист4!F60</f>
        <v>0.66</v>
      </c>
      <c r="E169" s="15">
        <f t="shared" si="26"/>
        <v>158.4</v>
      </c>
      <c r="F169" s="15">
        <f t="shared" si="27"/>
        <v>5.4516000000000009E-2</v>
      </c>
      <c r="G169" s="16">
        <f t="shared" si="41"/>
        <v>1.28</v>
      </c>
      <c r="H169" s="16">
        <f t="shared" si="29"/>
        <v>3.8</v>
      </c>
      <c r="I169" s="16">
        <f t="shared" si="30"/>
        <v>4.38</v>
      </c>
      <c r="J169" s="16">
        <f t="shared" si="31"/>
        <v>3.76</v>
      </c>
      <c r="K169" s="16">
        <f t="shared" si="32"/>
        <v>4.9304999999999994</v>
      </c>
      <c r="L169" s="17">
        <f t="shared" si="42"/>
        <v>1.8175999999999999</v>
      </c>
      <c r="M169" s="16">
        <f t="shared" si="33"/>
        <v>1.6</v>
      </c>
      <c r="N169" s="17">
        <f t="shared" si="34"/>
        <v>5.1899999999999995</v>
      </c>
      <c r="O169" s="17">
        <f t="shared" si="35"/>
        <v>4.5699999999999994</v>
      </c>
      <c r="P169" s="18">
        <f t="shared" si="36"/>
        <v>307.2</v>
      </c>
      <c r="Q169" s="19">
        <f t="shared" si="37"/>
        <v>436.22399999999999</v>
      </c>
      <c r="R169" s="19">
        <f t="shared" si="38"/>
        <v>129.024</v>
      </c>
      <c r="S169" s="20"/>
      <c r="T169" s="21" t="s">
        <v>169</v>
      </c>
    </row>
    <row r="170" spans="1:20" ht="15.75" x14ac:dyDescent="0.25">
      <c r="A170" s="11">
        <f>[1]Лист4!A61</f>
        <v>2</v>
      </c>
      <c r="B170" s="12" t="str">
        <f>[1]Лист4!C61</f>
        <v>Хризантема Пино Колада</v>
      </c>
      <c r="C170" s="13">
        <f>[1]Лист4!D61</f>
        <v>420</v>
      </c>
      <c r="D170" s="14">
        <f>[1]Лист4!F61</f>
        <v>0.47</v>
      </c>
      <c r="E170" s="15">
        <f t="shared" si="26"/>
        <v>197.39999999999998</v>
      </c>
      <c r="F170" s="15">
        <f t="shared" si="27"/>
        <v>3.8822000000000002E-2</v>
      </c>
      <c r="G170" s="16">
        <f t="shared" si="41"/>
        <v>0.96</v>
      </c>
      <c r="H170" s="16">
        <f t="shared" si="29"/>
        <v>2.8499999999999996</v>
      </c>
      <c r="I170" s="16">
        <f t="shared" si="30"/>
        <v>3.2899999999999996</v>
      </c>
      <c r="J170" s="16">
        <f t="shared" si="31"/>
        <v>2.82</v>
      </c>
      <c r="K170" s="16">
        <f t="shared" si="32"/>
        <v>3.6954999999999996</v>
      </c>
      <c r="L170" s="17">
        <f t="shared" si="42"/>
        <v>1.3632</v>
      </c>
      <c r="M170" s="16">
        <f t="shared" si="33"/>
        <v>1.2</v>
      </c>
      <c r="N170" s="17">
        <f t="shared" si="34"/>
        <v>3.8899999999999997</v>
      </c>
      <c r="O170" s="17">
        <f t="shared" si="35"/>
        <v>3.4299999999999997</v>
      </c>
      <c r="P170" s="18">
        <f t="shared" si="36"/>
        <v>403.2</v>
      </c>
      <c r="Q170" s="19">
        <f t="shared" si="37"/>
        <v>572.54399999999998</v>
      </c>
      <c r="R170" s="19">
        <f t="shared" si="38"/>
        <v>169.34399999999999</v>
      </c>
      <c r="S170" s="20"/>
      <c r="T170" s="21" t="s">
        <v>170</v>
      </c>
    </row>
    <row r="171" spans="1:20" ht="15.75" x14ac:dyDescent="0.25">
      <c r="A171" s="11">
        <f>[1]Лист4!A62</f>
        <v>2</v>
      </c>
      <c r="B171" s="12" t="str">
        <f>[1]Лист4!C62</f>
        <v>Хризантема Прешис</v>
      </c>
      <c r="C171" s="13">
        <f>[1]Лист4!D62</f>
        <v>320</v>
      </c>
      <c r="D171" s="14">
        <f>[1]Лист4!F62</f>
        <v>0.6</v>
      </c>
      <c r="E171" s="15">
        <f t="shared" si="26"/>
        <v>192</v>
      </c>
      <c r="F171" s="15">
        <f t="shared" si="27"/>
        <v>4.956E-2</v>
      </c>
      <c r="G171" s="16">
        <f t="shared" si="41"/>
        <v>1.18</v>
      </c>
      <c r="H171" s="16">
        <f t="shared" si="29"/>
        <v>3.5</v>
      </c>
      <c r="I171" s="16">
        <f t="shared" si="30"/>
        <v>4.04</v>
      </c>
      <c r="J171" s="16">
        <f t="shared" si="31"/>
        <v>3.4699999999999998</v>
      </c>
      <c r="K171" s="16">
        <f t="shared" si="32"/>
        <v>4.5409999999999995</v>
      </c>
      <c r="L171" s="17">
        <f t="shared" si="42"/>
        <v>1.6755999999999998</v>
      </c>
      <c r="M171" s="16">
        <f t="shared" si="33"/>
        <v>1.48</v>
      </c>
      <c r="N171" s="17">
        <f t="shared" si="34"/>
        <v>4.7799999999999994</v>
      </c>
      <c r="O171" s="17">
        <f t="shared" si="35"/>
        <v>4.21</v>
      </c>
      <c r="P171" s="18">
        <f t="shared" si="36"/>
        <v>377.59999999999997</v>
      </c>
      <c r="Q171" s="19">
        <f t="shared" si="37"/>
        <v>536.19199999999989</v>
      </c>
      <c r="R171" s="19">
        <f t="shared" si="38"/>
        <v>158.59199999999993</v>
      </c>
      <c r="S171" s="20"/>
      <c r="T171" s="21" t="s">
        <v>171</v>
      </c>
    </row>
    <row r="172" spans="1:20" ht="15.75" x14ac:dyDescent="0.25">
      <c r="A172" s="11">
        <f>[1]Лист4!A63</f>
        <v>2</v>
      </c>
      <c r="B172" s="12" t="str">
        <f>[1]Лист4!C63</f>
        <v>Хризантема Радость</v>
      </c>
      <c r="C172" s="13">
        <f>[1]Лист4!D63</f>
        <v>160</v>
      </c>
      <c r="D172" s="14">
        <f>[1]Лист4!F63</f>
        <v>0.57999999999999996</v>
      </c>
      <c r="E172" s="15">
        <f t="shared" si="26"/>
        <v>92.8</v>
      </c>
      <c r="F172" s="15">
        <f t="shared" si="27"/>
        <v>4.7907999999999999E-2</v>
      </c>
      <c r="G172" s="16">
        <f t="shared" si="41"/>
        <v>1.1499999999999999</v>
      </c>
      <c r="H172" s="16">
        <f t="shared" si="29"/>
        <v>3.4099999999999997</v>
      </c>
      <c r="I172" s="16">
        <f t="shared" si="30"/>
        <v>3.94</v>
      </c>
      <c r="J172" s="16">
        <f t="shared" si="31"/>
        <v>3.38</v>
      </c>
      <c r="K172" s="16">
        <f t="shared" si="32"/>
        <v>4.4269999999999996</v>
      </c>
      <c r="L172" s="17">
        <f t="shared" si="42"/>
        <v>1.6329999999999998</v>
      </c>
      <c r="M172" s="16">
        <f t="shared" si="33"/>
        <v>1.44</v>
      </c>
      <c r="N172" s="17">
        <f t="shared" si="34"/>
        <v>4.66</v>
      </c>
      <c r="O172" s="17">
        <f t="shared" si="35"/>
        <v>4.1099999999999994</v>
      </c>
      <c r="P172" s="18">
        <f t="shared" si="36"/>
        <v>184</v>
      </c>
      <c r="Q172" s="19">
        <f t="shared" si="37"/>
        <v>261.27999999999997</v>
      </c>
      <c r="R172" s="19">
        <f t="shared" si="38"/>
        <v>77.279999999999973</v>
      </c>
      <c r="S172" s="20"/>
      <c r="T172" s="21" t="s">
        <v>172</v>
      </c>
    </row>
    <row r="173" spans="1:20" ht="15.75" x14ac:dyDescent="0.25">
      <c r="A173" s="11">
        <f>[1]Лист4!A64</f>
        <v>2</v>
      </c>
      <c r="B173" s="12" t="str">
        <f>[1]Лист4!C64</f>
        <v>Хризантема Радость крем</v>
      </c>
      <c r="C173" s="13">
        <f>[1]Лист4!D64</f>
        <v>160</v>
      </c>
      <c r="D173" s="14">
        <f>[1]Лист4!F64</f>
        <v>0.49</v>
      </c>
      <c r="E173" s="15">
        <f t="shared" si="26"/>
        <v>78.400000000000006</v>
      </c>
      <c r="F173" s="15">
        <f t="shared" si="27"/>
        <v>4.0473999999999996E-2</v>
      </c>
      <c r="G173" s="16">
        <f t="shared" si="41"/>
        <v>0.99</v>
      </c>
      <c r="H173" s="16">
        <f t="shared" si="29"/>
        <v>2.94</v>
      </c>
      <c r="I173" s="16">
        <f t="shared" si="30"/>
        <v>3.3899999999999997</v>
      </c>
      <c r="J173" s="16">
        <f t="shared" si="31"/>
        <v>2.9099999999999997</v>
      </c>
      <c r="K173" s="16">
        <f t="shared" si="32"/>
        <v>3.8094999999999994</v>
      </c>
      <c r="L173" s="17">
        <f t="shared" si="42"/>
        <v>1.4057999999999999</v>
      </c>
      <c r="M173" s="16">
        <f t="shared" si="33"/>
        <v>1.24</v>
      </c>
      <c r="N173" s="17">
        <f t="shared" si="34"/>
        <v>4.01</v>
      </c>
      <c r="O173" s="17">
        <f t="shared" si="35"/>
        <v>3.53</v>
      </c>
      <c r="P173" s="18">
        <f t="shared" si="36"/>
        <v>158.4</v>
      </c>
      <c r="Q173" s="19">
        <f t="shared" si="37"/>
        <v>224.928</v>
      </c>
      <c r="R173" s="19">
        <f t="shared" si="38"/>
        <v>66.527999999999992</v>
      </c>
      <c r="S173" s="20"/>
      <c r="T173" s="21" t="s">
        <v>173</v>
      </c>
    </row>
    <row r="174" spans="1:20" ht="15.75" x14ac:dyDescent="0.25">
      <c r="A174" s="11">
        <f>[1]Лист4!A36</f>
        <v>2</v>
      </c>
      <c r="B174" s="12" t="str">
        <f>[1]Лист4!C36</f>
        <v>Хризантема сантини Кантри</v>
      </c>
      <c r="C174" s="13">
        <f>[1]Лист4!D36</f>
        <v>75</v>
      </c>
      <c r="D174" s="14">
        <f>[1]Лист4!F36</f>
        <v>0.39</v>
      </c>
      <c r="E174" s="15">
        <f t="shared" si="26"/>
        <v>29.25</v>
      </c>
      <c r="F174" s="15">
        <f t="shared" si="27"/>
        <v>3.2214E-2</v>
      </c>
      <c r="G174" s="16">
        <f t="shared" si="41"/>
        <v>0.82</v>
      </c>
      <c r="H174" s="16">
        <f t="shared" si="29"/>
        <v>2.44</v>
      </c>
      <c r="I174" s="16">
        <f t="shared" si="30"/>
        <v>2.8099999999999996</v>
      </c>
      <c r="J174" s="16">
        <f t="shared" si="31"/>
        <v>2.4099999999999997</v>
      </c>
      <c r="K174" s="16">
        <f t="shared" si="32"/>
        <v>3.1539999999999999</v>
      </c>
      <c r="L174" s="17">
        <f t="shared" si="42"/>
        <v>1.1643999999999999</v>
      </c>
      <c r="M174" s="16">
        <f t="shared" si="33"/>
        <v>1.03</v>
      </c>
      <c r="N174" s="17">
        <f t="shared" si="34"/>
        <v>3.32</v>
      </c>
      <c r="O174" s="17">
        <f t="shared" si="35"/>
        <v>2.9299999999999997</v>
      </c>
      <c r="P174" s="18">
        <f t="shared" si="36"/>
        <v>61.499999999999993</v>
      </c>
      <c r="Q174" s="19">
        <f t="shared" si="37"/>
        <v>87.329999999999984</v>
      </c>
      <c r="R174" s="19">
        <f t="shared" si="38"/>
        <v>25.829999999999991</v>
      </c>
      <c r="S174" s="20"/>
      <c r="T174" s="21" t="s">
        <v>174</v>
      </c>
    </row>
    <row r="175" spans="1:20" ht="15.75" x14ac:dyDescent="0.25">
      <c r="A175" s="11">
        <f>[1]Лист4!A37</f>
        <v>2</v>
      </c>
      <c r="B175" s="12" t="str">
        <f>[1]Лист4!C37</f>
        <v>Хризантема сантини Эллисон Свит</v>
      </c>
      <c r="C175" s="13">
        <f>[1]Лист4!D37</f>
        <v>75</v>
      </c>
      <c r="D175" s="14">
        <f>[1]Лист4!F37</f>
        <v>0.51</v>
      </c>
      <c r="E175" s="15">
        <f t="shared" si="26"/>
        <v>38.25</v>
      </c>
      <c r="F175" s="15">
        <f t="shared" si="27"/>
        <v>4.2126000000000004E-2</v>
      </c>
      <c r="G175" s="16">
        <f t="shared" si="41"/>
        <v>1.03</v>
      </c>
      <c r="H175" s="16">
        <f t="shared" si="29"/>
        <v>3.0599999999999996</v>
      </c>
      <c r="I175" s="16">
        <f t="shared" si="30"/>
        <v>3.53</v>
      </c>
      <c r="J175" s="16">
        <f t="shared" si="31"/>
        <v>3.03</v>
      </c>
      <c r="K175" s="16">
        <f t="shared" si="32"/>
        <v>3.9614999999999996</v>
      </c>
      <c r="L175" s="17">
        <f t="shared" si="42"/>
        <v>1.4625999999999999</v>
      </c>
      <c r="M175" s="16">
        <f t="shared" si="33"/>
        <v>1.29</v>
      </c>
      <c r="N175" s="17">
        <f t="shared" si="34"/>
        <v>4.17</v>
      </c>
      <c r="O175" s="17">
        <f t="shared" si="35"/>
        <v>3.67</v>
      </c>
      <c r="P175" s="18">
        <f t="shared" si="36"/>
        <v>77.25</v>
      </c>
      <c r="Q175" s="19">
        <f t="shared" si="37"/>
        <v>109.69499999999999</v>
      </c>
      <c r="R175" s="19">
        <f t="shared" si="38"/>
        <v>32.444999999999993</v>
      </c>
      <c r="S175" s="20"/>
      <c r="T175" s="21" t="s">
        <v>175</v>
      </c>
    </row>
    <row r="176" spans="1:20" ht="15.75" x14ac:dyDescent="0.25">
      <c r="A176" s="11">
        <f>[1]Лист4!A65</f>
        <v>2</v>
      </c>
      <c r="B176" s="12" t="str">
        <f>[1]Лист4!C65</f>
        <v>Хризантема Сталион</v>
      </c>
      <c r="C176" s="13">
        <f>[1]Лист4!D65</f>
        <v>160</v>
      </c>
      <c r="D176" s="14">
        <f>[1]Лист4!F65</f>
        <v>0.52</v>
      </c>
      <c r="E176" s="15">
        <f t="shared" si="26"/>
        <v>83.2</v>
      </c>
      <c r="F176" s="15">
        <f t="shared" si="27"/>
        <v>4.2952000000000004E-2</v>
      </c>
      <c r="G176" s="16">
        <f t="shared" si="41"/>
        <v>1.04</v>
      </c>
      <c r="H176" s="16">
        <f t="shared" si="29"/>
        <v>3.09</v>
      </c>
      <c r="I176" s="16">
        <f t="shared" si="30"/>
        <v>3.5599999999999996</v>
      </c>
      <c r="J176" s="16">
        <f t="shared" si="31"/>
        <v>3.0599999999999996</v>
      </c>
      <c r="K176" s="16">
        <f t="shared" si="32"/>
        <v>3.9994999999999998</v>
      </c>
      <c r="L176" s="17">
        <f t="shared" si="42"/>
        <v>1.4767999999999999</v>
      </c>
      <c r="M176" s="16">
        <f t="shared" si="33"/>
        <v>1.3</v>
      </c>
      <c r="N176" s="17">
        <f t="shared" si="34"/>
        <v>4.21</v>
      </c>
      <c r="O176" s="17">
        <f t="shared" si="35"/>
        <v>3.71</v>
      </c>
      <c r="P176" s="18">
        <f t="shared" si="36"/>
        <v>166.4</v>
      </c>
      <c r="Q176" s="19">
        <f t="shared" si="37"/>
        <v>236.28799999999998</v>
      </c>
      <c r="R176" s="19">
        <f t="shared" si="38"/>
        <v>69.887999999999977</v>
      </c>
      <c r="S176" s="20"/>
      <c r="T176" s="21" t="s">
        <v>176</v>
      </c>
    </row>
    <row r="177" spans="1:20" ht="15.75" x14ac:dyDescent="0.25">
      <c r="A177" s="11">
        <f>[1]Лист4!A49</f>
        <v>2</v>
      </c>
      <c r="B177" s="12" t="str">
        <f>[1]Лист4!C49</f>
        <v>Хризантема фабиен свит</v>
      </c>
      <c r="C177" s="13">
        <f>[1]Лист4!D49</f>
        <v>160</v>
      </c>
      <c r="D177" s="14">
        <f>[1]Лист4!F49</f>
        <v>0.59</v>
      </c>
      <c r="E177" s="15">
        <f t="shared" si="26"/>
        <v>94.399999999999991</v>
      </c>
      <c r="F177" s="15">
        <f t="shared" si="27"/>
        <v>4.8734E-2</v>
      </c>
      <c r="G177" s="16">
        <f t="shared" si="41"/>
        <v>1.1599999999999999</v>
      </c>
      <c r="H177" s="16">
        <f t="shared" si="29"/>
        <v>3.44</v>
      </c>
      <c r="I177" s="16">
        <f t="shared" si="30"/>
        <v>3.9699999999999998</v>
      </c>
      <c r="J177" s="16">
        <f t="shared" si="31"/>
        <v>3.4099999999999997</v>
      </c>
      <c r="K177" s="16">
        <f t="shared" si="32"/>
        <v>4.4649999999999999</v>
      </c>
      <c r="L177" s="17">
        <f t="shared" si="42"/>
        <v>1.6471999999999998</v>
      </c>
      <c r="M177" s="16">
        <f t="shared" si="33"/>
        <v>1.45</v>
      </c>
      <c r="N177" s="17">
        <f t="shared" si="34"/>
        <v>4.7</v>
      </c>
      <c r="O177" s="17">
        <f t="shared" si="35"/>
        <v>4.1399999999999997</v>
      </c>
      <c r="P177" s="18">
        <f t="shared" si="36"/>
        <v>185.6</v>
      </c>
      <c r="Q177" s="19">
        <f t="shared" si="37"/>
        <v>263.55199999999996</v>
      </c>
      <c r="R177" s="19">
        <f t="shared" si="38"/>
        <v>77.95199999999997</v>
      </c>
      <c r="S177" s="20"/>
      <c r="T177" s="21" t="s">
        <v>177</v>
      </c>
    </row>
    <row r="178" spans="1:20" ht="15.75" x14ac:dyDescent="0.25">
      <c r="A178" s="11">
        <f>[1]Лист4!A50</f>
        <v>2</v>
      </c>
      <c r="B178" s="12" t="str">
        <f>[1]Лист4!C50</f>
        <v>Хризантема Фонтина</v>
      </c>
      <c r="C178" s="13">
        <f>[1]Лист4!D50</f>
        <v>160</v>
      </c>
      <c r="D178" s="14">
        <f>[1]Лист4!F50</f>
        <v>0.53</v>
      </c>
      <c r="E178" s="15">
        <f t="shared" si="26"/>
        <v>84.800000000000011</v>
      </c>
      <c r="F178" s="15">
        <f t="shared" si="27"/>
        <v>4.3778000000000004E-2</v>
      </c>
      <c r="G178" s="16">
        <f t="shared" si="41"/>
        <v>1.06</v>
      </c>
      <c r="H178" s="16">
        <f t="shared" si="29"/>
        <v>3.15</v>
      </c>
      <c r="I178" s="16">
        <f t="shared" si="30"/>
        <v>3.63</v>
      </c>
      <c r="J178" s="16">
        <f t="shared" si="31"/>
        <v>3.1199999999999997</v>
      </c>
      <c r="K178" s="16">
        <f t="shared" si="32"/>
        <v>4.0754999999999999</v>
      </c>
      <c r="L178" s="17">
        <f t="shared" si="42"/>
        <v>1.5052000000000001</v>
      </c>
      <c r="M178" s="16">
        <f t="shared" si="33"/>
        <v>1.33</v>
      </c>
      <c r="N178" s="17">
        <f t="shared" si="34"/>
        <v>4.29</v>
      </c>
      <c r="O178" s="17">
        <f t="shared" si="35"/>
        <v>3.78</v>
      </c>
      <c r="P178" s="18">
        <f t="shared" si="36"/>
        <v>169.60000000000002</v>
      </c>
      <c r="Q178" s="19">
        <f t="shared" si="37"/>
        <v>240.83200000000002</v>
      </c>
      <c r="R178" s="19">
        <f t="shared" si="38"/>
        <v>71.231999999999999</v>
      </c>
      <c r="S178" s="20"/>
      <c r="T178" s="21" t="s">
        <v>178</v>
      </c>
    </row>
    <row r="179" spans="1:20" ht="15.75" x14ac:dyDescent="0.25">
      <c r="A179" s="11">
        <f>[1]Лист4!A44</f>
        <v>2</v>
      </c>
      <c r="B179" s="12" t="str">
        <f>[1]Лист4!C44</f>
        <v>Хризантема Шик</v>
      </c>
      <c r="C179" s="13">
        <f>[1]Лист4!D44</f>
        <v>9500</v>
      </c>
      <c r="D179" s="14">
        <v>0.45</v>
      </c>
      <c r="E179" s="15">
        <f t="shared" si="26"/>
        <v>4275</v>
      </c>
      <c r="F179" s="15">
        <f t="shared" si="27"/>
        <v>3.7170000000000009E-2</v>
      </c>
      <c r="G179" s="16">
        <f t="shared" si="41"/>
        <v>0.92</v>
      </c>
      <c r="H179" s="16">
        <f t="shared" si="29"/>
        <v>2.73</v>
      </c>
      <c r="I179" s="16">
        <f t="shared" si="30"/>
        <v>3.15</v>
      </c>
      <c r="J179" s="16">
        <f t="shared" si="31"/>
        <v>2.71</v>
      </c>
      <c r="K179" s="16">
        <f t="shared" si="32"/>
        <v>3.6574999999999993</v>
      </c>
      <c r="L179" s="17">
        <v>1.35</v>
      </c>
      <c r="M179" s="16">
        <f t="shared" si="33"/>
        <v>1.19</v>
      </c>
      <c r="N179" s="17">
        <f t="shared" si="34"/>
        <v>3.8499999999999996</v>
      </c>
      <c r="O179" s="17">
        <f t="shared" si="35"/>
        <v>3.3899999999999997</v>
      </c>
      <c r="P179" s="18">
        <f t="shared" si="36"/>
        <v>8740</v>
      </c>
      <c r="Q179" s="19">
        <f t="shared" si="37"/>
        <v>12825</v>
      </c>
      <c r="R179" s="19">
        <f t="shared" si="38"/>
        <v>4085</v>
      </c>
      <c r="S179" s="20"/>
      <c r="T179" s="21" t="s">
        <v>179</v>
      </c>
    </row>
    <row r="180" spans="1:20" ht="15.75" x14ac:dyDescent="0.25">
      <c r="A180" s="11">
        <f>[1]Лист4!A45</f>
        <v>2</v>
      </c>
      <c r="B180" s="12" t="str">
        <f>[1]Лист4!C45</f>
        <v>Хризантема Шик крем</v>
      </c>
      <c r="C180" s="13">
        <f>[1]Лист4!D45</f>
        <v>240</v>
      </c>
      <c r="D180" s="14">
        <f>[1]Лист4!F45</f>
        <v>0.53</v>
      </c>
      <c r="E180" s="15">
        <f t="shared" si="26"/>
        <v>127.2</v>
      </c>
      <c r="F180" s="15">
        <f t="shared" si="27"/>
        <v>4.3778000000000004E-2</v>
      </c>
      <c r="G180" s="16">
        <f t="shared" si="41"/>
        <v>1.06</v>
      </c>
      <c r="H180" s="16">
        <f t="shared" si="29"/>
        <v>3.15</v>
      </c>
      <c r="I180" s="16">
        <f t="shared" si="30"/>
        <v>3.63</v>
      </c>
      <c r="J180" s="16">
        <f t="shared" si="31"/>
        <v>3.1199999999999997</v>
      </c>
      <c r="K180" s="16">
        <f t="shared" si="32"/>
        <v>4.0754999999999999</v>
      </c>
      <c r="L180" s="17">
        <f t="shared" si="42"/>
        <v>1.5052000000000001</v>
      </c>
      <c r="M180" s="16">
        <f t="shared" si="33"/>
        <v>1.33</v>
      </c>
      <c r="N180" s="17">
        <f t="shared" si="34"/>
        <v>4.29</v>
      </c>
      <c r="O180" s="17">
        <f t="shared" si="35"/>
        <v>3.78</v>
      </c>
      <c r="P180" s="18">
        <f t="shared" si="36"/>
        <v>254.4</v>
      </c>
      <c r="Q180" s="19">
        <f t="shared" si="37"/>
        <v>361.24800000000005</v>
      </c>
      <c r="R180" s="19">
        <f t="shared" si="38"/>
        <v>106.84800000000004</v>
      </c>
      <c r="S180" s="20"/>
      <c r="T180" s="21" t="s">
        <v>180</v>
      </c>
    </row>
    <row r="181" spans="1:20" ht="15.75" x14ac:dyDescent="0.25">
      <c r="A181" s="11">
        <f>[1]Лист4!A39</f>
        <v>2</v>
      </c>
      <c r="B181" s="12" t="str">
        <f>[1]Лист4!C39</f>
        <v>Хризантема Эбби</v>
      </c>
      <c r="C181" s="13">
        <f>[1]Лист4!D39</f>
        <v>80</v>
      </c>
      <c r="D181" s="14">
        <f>[1]Лист4!F39</f>
        <v>0.49</v>
      </c>
      <c r="E181" s="15">
        <f t="shared" si="26"/>
        <v>39.200000000000003</v>
      </c>
      <c r="F181" s="15">
        <f t="shared" si="27"/>
        <v>4.0473999999999996E-2</v>
      </c>
      <c r="G181" s="16">
        <f>ROUND((((D181*1.15)*1.18)+F181+0.09)*1.2,2)</f>
        <v>0.95</v>
      </c>
      <c r="H181" s="16">
        <f t="shared" si="29"/>
        <v>2.82</v>
      </c>
      <c r="I181" s="16">
        <f t="shared" si="30"/>
        <v>3.25</v>
      </c>
      <c r="J181" s="16">
        <f t="shared" si="31"/>
        <v>2.7899999999999996</v>
      </c>
      <c r="K181" s="16">
        <f t="shared" si="32"/>
        <v>3.6574999999999993</v>
      </c>
      <c r="L181" s="17">
        <f t="shared" si="42"/>
        <v>1.349</v>
      </c>
      <c r="M181" s="16">
        <f t="shared" si="33"/>
        <v>1.19</v>
      </c>
      <c r="N181" s="17">
        <f t="shared" si="34"/>
        <v>3.8499999999999996</v>
      </c>
      <c r="O181" s="17">
        <f t="shared" si="35"/>
        <v>3.3899999999999997</v>
      </c>
      <c r="P181" s="18">
        <f t="shared" si="36"/>
        <v>76</v>
      </c>
      <c r="Q181" s="19">
        <f t="shared" si="37"/>
        <v>107.92</v>
      </c>
      <c r="R181" s="19">
        <f t="shared" si="38"/>
        <v>31.92</v>
      </c>
      <c r="S181" s="20"/>
      <c r="T181" s="21" t="s">
        <v>181</v>
      </c>
    </row>
    <row r="182" spans="1:20" ht="15.75" x14ac:dyDescent="0.25">
      <c r="A182" s="11">
        <f>[1]Лист4!A66</f>
        <v>4</v>
      </c>
      <c r="B182" s="12" t="str">
        <f>[1]Лист4!C66</f>
        <v>Орхидея белая</v>
      </c>
      <c r="C182" s="13">
        <f>[1]Лист4!D66</f>
        <v>6</v>
      </c>
      <c r="D182" s="14">
        <f>[1]Лист4!F66</f>
        <v>9.42</v>
      </c>
      <c r="E182" s="15">
        <f t="shared" si="26"/>
        <v>56.519999999999996</v>
      </c>
      <c r="F182" s="15">
        <f t="shared" si="27"/>
        <v>0.77809200000000001</v>
      </c>
      <c r="G182" s="16">
        <f t="shared" ref="G182:G245" si="43">ROUND((((D182*1.15)*1.18)+F182+0.14)*1.2,2)</f>
        <v>16.440000000000001</v>
      </c>
      <c r="H182" s="16">
        <f t="shared" si="29"/>
        <v>48.73</v>
      </c>
      <c r="I182" s="16">
        <f t="shared" si="30"/>
        <v>56.23</v>
      </c>
      <c r="J182" s="16">
        <f t="shared" si="31"/>
        <v>48.26</v>
      </c>
      <c r="K182" s="16">
        <f t="shared" si="32"/>
        <v>64.98</v>
      </c>
      <c r="L182" s="17">
        <v>24</v>
      </c>
      <c r="M182" s="16">
        <f t="shared" si="33"/>
        <v>21.12</v>
      </c>
      <c r="N182" s="17">
        <f t="shared" si="34"/>
        <v>68.400000000000006</v>
      </c>
      <c r="O182" s="17">
        <f t="shared" si="35"/>
        <v>60.199999999999996</v>
      </c>
      <c r="P182" s="18">
        <f t="shared" si="36"/>
        <v>98.640000000000015</v>
      </c>
      <c r="Q182" s="19">
        <f t="shared" si="37"/>
        <v>144</v>
      </c>
      <c r="R182" s="19">
        <f t="shared" si="38"/>
        <v>45.359999999999985</v>
      </c>
      <c r="S182" s="20"/>
      <c r="T182" s="21" t="s">
        <v>182</v>
      </c>
    </row>
    <row r="183" spans="1:20" ht="15.75" x14ac:dyDescent="0.25">
      <c r="A183" s="11">
        <f>[1]Лист4!A68</f>
        <v>4</v>
      </c>
      <c r="B183" s="12" t="str">
        <f>[1]Лист4!C68</f>
        <v>Орхидея микс</v>
      </c>
      <c r="C183" s="13">
        <f>[1]Лист4!D68</f>
        <v>12</v>
      </c>
      <c r="D183" s="14">
        <f>[1]Лист4!F68</f>
        <v>7.62</v>
      </c>
      <c r="E183" s="15">
        <f t="shared" si="26"/>
        <v>91.44</v>
      </c>
      <c r="F183" s="15">
        <f t="shared" si="27"/>
        <v>0.62941200000000008</v>
      </c>
      <c r="G183" s="16">
        <f t="shared" si="43"/>
        <v>13.33</v>
      </c>
      <c r="H183" s="16">
        <f t="shared" si="29"/>
        <v>39.519999999999996</v>
      </c>
      <c r="I183" s="16">
        <f t="shared" si="30"/>
        <v>45.589999999999996</v>
      </c>
      <c r="J183" s="16">
        <f t="shared" si="31"/>
        <v>39.14</v>
      </c>
      <c r="K183" s="16">
        <f t="shared" si="32"/>
        <v>54.15</v>
      </c>
      <c r="L183" s="17">
        <v>20</v>
      </c>
      <c r="M183" s="16">
        <f t="shared" si="33"/>
        <v>17.600000000000001</v>
      </c>
      <c r="N183" s="17">
        <f t="shared" si="34"/>
        <v>57</v>
      </c>
      <c r="O183" s="17">
        <f t="shared" si="35"/>
        <v>50.16</v>
      </c>
      <c r="P183" s="18">
        <f t="shared" si="36"/>
        <v>159.96</v>
      </c>
      <c r="Q183" s="19">
        <f t="shared" si="37"/>
        <v>240</v>
      </c>
      <c r="R183" s="19">
        <f t="shared" si="38"/>
        <v>80.039999999999992</v>
      </c>
      <c r="S183" s="20"/>
      <c r="T183" s="21" t="s">
        <v>183</v>
      </c>
    </row>
    <row r="184" spans="1:20" ht="15.75" x14ac:dyDescent="0.25">
      <c r="A184" s="11">
        <f>[1]Лист4!A67</f>
        <v>4</v>
      </c>
      <c r="B184" s="12" t="str">
        <f>[1]Лист4!C67</f>
        <v>Орхидея розовая</v>
      </c>
      <c r="C184" s="13">
        <f>[1]Лист4!D67</f>
        <v>12</v>
      </c>
      <c r="D184" s="14">
        <f>[1]Лист4!F67</f>
        <v>9.42</v>
      </c>
      <c r="E184" s="15">
        <f t="shared" si="26"/>
        <v>113.03999999999999</v>
      </c>
      <c r="F184" s="15">
        <f t="shared" si="27"/>
        <v>0.77809200000000001</v>
      </c>
      <c r="G184" s="16">
        <f t="shared" si="43"/>
        <v>16.440000000000001</v>
      </c>
      <c r="H184" s="16">
        <f t="shared" si="29"/>
        <v>48.73</v>
      </c>
      <c r="I184" s="16">
        <f t="shared" si="30"/>
        <v>56.23</v>
      </c>
      <c r="J184" s="16">
        <f t="shared" si="31"/>
        <v>48.26</v>
      </c>
      <c r="K184" s="16">
        <f t="shared" si="32"/>
        <v>64.98</v>
      </c>
      <c r="L184" s="17">
        <v>24</v>
      </c>
      <c r="M184" s="16">
        <f t="shared" si="33"/>
        <v>21.12</v>
      </c>
      <c r="N184" s="17">
        <f t="shared" si="34"/>
        <v>68.400000000000006</v>
      </c>
      <c r="O184" s="17">
        <f t="shared" si="35"/>
        <v>60.199999999999996</v>
      </c>
      <c r="P184" s="18">
        <f t="shared" si="36"/>
        <v>197.28000000000003</v>
      </c>
      <c r="Q184" s="19">
        <f t="shared" si="37"/>
        <v>288</v>
      </c>
      <c r="R184" s="19">
        <f t="shared" si="38"/>
        <v>90.71999999999997</v>
      </c>
      <c r="S184" s="20"/>
      <c r="T184" s="21" t="s">
        <v>184</v>
      </c>
    </row>
    <row r="185" spans="1:20" ht="15.75" x14ac:dyDescent="0.25">
      <c r="A185" s="11">
        <f>[1]Лист4!A72</f>
        <v>6</v>
      </c>
      <c r="B185" s="12" t="str">
        <f>[1]Лист4!C72</f>
        <v>Лилия белая</v>
      </c>
      <c r="C185" s="13">
        <f>[1]Лист4!D72</f>
        <v>240</v>
      </c>
      <c r="D185" s="14">
        <f>[1]Лист4!F72</f>
        <v>1.48</v>
      </c>
      <c r="E185" s="15">
        <f t="shared" si="26"/>
        <v>355.2</v>
      </c>
      <c r="F185" s="15">
        <f t="shared" si="27"/>
        <v>0.12224800000000001</v>
      </c>
      <c r="G185" s="16">
        <f t="shared" si="43"/>
        <v>2.72</v>
      </c>
      <c r="H185" s="16">
        <f t="shared" si="29"/>
        <v>8.07</v>
      </c>
      <c r="I185" s="16">
        <f t="shared" si="30"/>
        <v>9.31</v>
      </c>
      <c r="J185" s="16">
        <f t="shared" si="31"/>
        <v>7.99</v>
      </c>
      <c r="K185" s="16">
        <f t="shared" si="32"/>
        <v>11.371499999999999</v>
      </c>
      <c r="L185" s="17">
        <v>4.2</v>
      </c>
      <c r="M185" s="16">
        <f t="shared" si="33"/>
        <v>3.6999999999999997</v>
      </c>
      <c r="N185" s="17">
        <f t="shared" si="34"/>
        <v>11.97</v>
      </c>
      <c r="O185" s="17">
        <f t="shared" si="35"/>
        <v>10.54</v>
      </c>
      <c r="P185" s="18">
        <f t="shared" si="36"/>
        <v>652.80000000000007</v>
      </c>
      <c r="Q185" s="19">
        <f t="shared" si="37"/>
        <v>1008</v>
      </c>
      <c r="R185" s="19">
        <f t="shared" si="38"/>
        <v>355.19999999999993</v>
      </c>
      <c r="S185" s="20"/>
      <c r="T185" s="21" t="s">
        <v>185</v>
      </c>
    </row>
    <row r="186" spans="1:20" ht="15.75" x14ac:dyDescent="0.25">
      <c r="A186" s="11">
        <f>[1]Лист4!A69</f>
        <v>6</v>
      </c>
      <c r="B186" s="12" t="str">
        <f>[1]Лист4!C69</f>
        <v>Лилия махровая белая</v>
      </c>
      <c r="C186" s="13">
        <f>[1]Лист4!D69</f>
        <v>160</v>
      </c>
      <c r="D186" s="14">
        <f>[1]Лист4!F69</f>
        <v>1.91</v>
      </c>
      <c r="E186" s="15">
        <f t="shared" si="26"/>
        <v>305.59999999999997</v>
      </c>
      <c r="F186" s="15">
        <f t="shared" si="27"/>
        <v>0.15776599999999999</v>
      </c>
      <c r="G186" s="16">
        <f t="shared" si="43"/>
        <v>3.47</v>
      </c>
      <c r="H186" s="16">
        <f t="shared" si="29"/>
        <v>10.29</v>
      </c>
      <c r="I186" s="16">
        <f t="shared" si="30"/>
        <v>11.87</v>
      </c>
      <c r="J186" s="16">
        <f t="shared" si="31"/>
        <v>10.19</v>
      </c>
      <c r="K186" s="16">
        <f t="shared" si="32"/>
        <v>14.563499999999999</v>
      </c>
      <c r="L186" s="17">
        <f t="shared" ref="L186:L191" si="44">G186*1.55</f>
        <v>5.3785000000000007</v>
      </c>
      <c r="M186" s="16">
        <f t="shared" si="33"/>
        <v>4.74</v>
      </c>
      <c r="N186" s="17">
        <f t="shared" si="34"/>
        <v>15.33</v>
      </c>
      <c r="O186" s="17">
        <f t="shared" si="35"/>
        <v>13.5</v>
      </c>
      <c r="P186" s="18">
        <f t="shared" si="36"/>
        <v>555.20000000000005</v>
      </c>
      <c r="Q186" s="19">
        <f t="shared" si="37"/>
        <v>860.56000000000017</v>
      </c>
      <c r="R186" s="19">
        <f t="shared" si="38"/>
        <v>305.36000000000013</v>
      </c>
      <c r="S186" s="20"/>
      <c r="T186" s="21" t="s">
        <v>186</v>
      </c>
    </row>
    <row r="187" spans="1:20" ht="15.75" x14ac:dyDescent="0.25">
      <c r="A187" s="11">
        <f>[1]Лист4!A71</f>
        <v>6</v>
      </c>
      <c r="B187" s="12" t="str">
        <f>[1]Лист4!C71</f>
        <v>Лилия розовая</v>
      </c>
      <c r="C187" s="13">
        <f>[1]Лист4!D71</f>
        <v>80</v>
      </c>
      <c r="D187" s="14">
        <f>[1]Лист4!F71</f>
        <v>2.21</v>
      </c>
      <c r="E187" s="15">
        <f t="shared" si="26"/>
        <v>176.8</v>
      </c>
      <c r="F187" s="15">
        <f t="shared" si="27"/>
        <v>0.18254599999999999</v>
      </c>
      <c r="G187" s="16">
        <f t="shared" si="43"/>
        <v>3.99</v>
      </c>
      <c r="H187" s="16">
        <f t="shared" si="29"/>
        <v>11.83</v>
      </c>
      <c r="I187" s="16">
        <f t="shared" si="30"/>
        <v>13.65</v>
      </c>
      <c r="J187" s="16">
        <f t="shared" si="31"/>
        <v>11.72</v>
      </c>
      <c r="K187" s="16">
        <f t="shared" si="32"/>
        <v>16.7485</v>
      </c>
      <c r="L187" s="17">
        <f t="shared" si="44"/>
        <v>6.1845000000000008</v>
      </c>
      <c r="M187" s="16">
        <f t="shared" si="33"/>
        <v>5.45</v>
      </c>
      <c r="N187" s="17">
        <f t="shared" si="34"/>
        <v>17.630000000000003</v>
      </c>
      <c r="O187" s="17">
        <f t="shared" si="35"/>
        <v>15.52</v>
      </c>
      <c r="P187" s="18">
        <f t="shared" si="36"/>
        <v>319.20000000000005</v>
      </c>
      <c r="Q187" s="19">
        <f t="shared" si="37"/>
        <v>494.76000000000005</v>
      </c>
      <c r="R187" s="19">
        <f t="shared" si="38"/>
        <v>175.56</v>
      </c>
      <c r="S187" s="20"/>
      <c r="T187" s="21" t="s">
        <v>187</v>
      </c>
    </row>
    <row r="188" spans="1:20" ht="15.75" x14ac:dyDescent="0.25">
      <c r="A188" s="11">
        <f>[1]Лист4!A73</f>
        <v>8</v>
      </c>
      <c r="B188" s="12" t="str">
        <f>[1]Лист4!C73</f>
        <v>Аллиум</v>
      </c>
      <c r="C188" s="13">
        <f>[1]Лист4!D73</f>
        <v>28</v>
      </c>
      <c r="D188" s="14">
        <f>[1]Лист4!F73</f>
        <v>1.2</v>
      </c>
      <c r="E188" s="15">
        <f t="shared" si="26"/>
        <v>33.6</v>
      </c>
      <c r="F188" s="15">
        <f t="shared" si="27"/>
        <v>9.912E-2</v>
      </c>
      <c r="G188" s="16">
        <f t="shared" si="43"/>
        <v>2.2400000000000002</v>
      </c>
      <c r="H188" s="16">
        <f t="shared" si="29"/>
        <v>6.64</v>
      </c>
      <c r="I188" s="16">
        <f t="shared" si="30"/>
        <v>7.67</v>
      </c>
      <c r="J188" s="16">
        <f t="shared" si="31"/>
        <v>6.58</v>
      </c>
      <c r="K188" s="16">
        <f t="shared" si="32"/>
        <v>9.4049999999999994</v>
      </c>
      <c r="L188" s="17">
        <f t="shared" si="44"/>
        <v>3.4720000000000004</v>
      </c>
      <c r="M188" s="16">
        <f t="shared" si="33"/>
        <v>3.0599999999999996</v>
      </c>
      <c r="N188" s="17">
        <f t="shared" si="34"/>
        <v>9.9</v>
      </c>
      <c r="O188" s="17">
        <f t="shared" si="35"/>
        <v>8.7200000000000006</v>
      </c>
      <c r="P188" s="18">
        <f t="shared" si="36"/>
        <v>62.720000000000006</v>
      </c>
      <c r="Q188" s="19">
        <f t="shared" si="37"/>
        <v>97.216000000000008</v>
      </c>
      <c r="R188" s="19">
        <f t="shared" si="38"/>
        <v>34.496000000000002</v>
      </c>
      <c r="S188" s="20"/>
      <c r="T188" s="21" t="s">
        <v>188</v>
      </c>
    </row>
    <row r="189" spans="1:20" ht="15.75" x14ac:dyDescent="0.25">
      <c r="A189" s="11">
        <f>[1]Лист4!A75</f>
        <v>8</v>
      </c>
      <c r="B189" s="12" t="str">
        <f>[1]Лист4!C75</f>
        <v>Альстроемерия Чармелия Розовая</v>
      </c>
      <c r="C189" s="13">
        <f>[1]Лист4!D75</f>
        <v>150</v>
      </c>
      <c r="D189" s="14">
        <f>[1]Лист4!F75</f>
        <v>0.37</v>
      </c>
      <c r="E189" s="15">
        <f t="shared" si="26"/>
        <v>55.5</v>
      </c>
      <c r="F189" s="15">
        <f t="shared" si="27"/>
        <v>3.0562000000000002E-2</v>
      </c>
      <c r="G189" s="16">
        <f t="shared" si="43"/>
        <v>0.81</v>
      </c>
      <c r="H189" s="16">
        <f t="shared" si="29"/>
        <v>2.4099999999999997</v>
      </c>
      <c r="I189" s="16">
        <f t="shared" si="30"/>
        <v>2.78</v>
      </c>
      <c r="J189" s="16">
        <f t="shared" si="31"/>
        <v>2.38</v>
      </c>
      <c r="K189" s="16">
        <f t="shared" si="32"/>
        <v>3.4009999999999994</v>
      </c>
      <c r="L189" s="17">
        <f t="shared" si="44"/>
        <v>1.2555000000000001</v>
      </c>
      <c r="M189" s="16">
        <f t="shared" si="33"/>
        <v>1.1100000000000001</v>
      </c>
      <c r="N189" s="17">
        <f t="shared" si="34"/>
        <v>3.5799999999999996</v>
      </c>
      <c r="O189" s="17">
        <f t="shared" si="35"/>
        <v>3.1599999999999997</v>
      </c>
      <c r="P189" s="18">
        <f t="shared" si="36"/>
        <v>121.50000000000001</v>
      </c>
      <c r="Q189" s="19">
        <f t="shared" si="37"/>
        <v>188.32500000000002</v>
      </c>
      <c r="R189" s="19">
        <f t="shared" si="38"/>
        <v>66.825000000000003</v>
      </c>
      <c r="S189" s="20"/>
      <c r="T189" s="21" t="s">
        <v>189</v>
      </c>
    </row>
    <row r="190" spans="1:20" ht="15.75" x14ac:dyDescent="0.25">
      <c r="A190" s="11">
        <f>[1]Лист4!A76</f>
        <v>8</v>
      </c>
      <c r="B190" s="12" t="str">
        <f>[1]Лист4!C76</f>
        <v>Амарант зеленый</v>
      </c>
      <c r="C190" s="13">
        <f>[1]Лист4!D76</f>
        <v>50</v>
      </c>
      <c r="D190" s="14">
        <f>[1]Лист4!F76</f>
        <v>1.89</v>
      </c>
      <c r="E190" s="15">
        <f t="shared" si="26"/>
        <v>94.5</v>
      </c>
      <c r="F190" s="15">
        <f t="shared" si="27"/>
        <v>0.156114</v>
      </c>
      <c r="G190" s="16">
        <f t="shared" si="43"/>
        <v>3.43</v>
      </c>
      <c r="H190" s="16">
        <f t="shared" si="29"/>
        <v>10.17</v>
      </c>
      <c r="I190" s="16">
        <f t="shared" si="30"/>
        <v>11.74</v>
      </c>
      <c r="J190" s="16">
        <f t="shared" si="31"/>
        <v>10.07</v>
      </c>
      <c r="K190" s="16">
        <f t="shared" si="32"/>
        <v>14.401999999999999</v>
      </c>
      <c r="L190" s="17">
        <f t="shared" si="44"/>
        <v>5.3165000000000004</v>
      </c>
      <c r="M190" s="16">
        <f t="shared" si="33"/>
        <v>4.68</v>
      </c>
      <c r="N190" s="17">
        <f t="shared" si="34"/>
        <v>15.16</v>
      </c>
      <c r="O190" s="17">
        <f t="shared" si="35"/>
        <v>13.35</v>
      </c>
      <c r="P190" s="18">
        <f t="shared" si="36"/>
        <v>171.5</v>
      </c>
      <c r="Q190" s="19">
        <f t="shared" si="37"/>
        <v>265.82500000000005</v>
      </c>
      <c r="R190" s="19">
        <f t="shared" si="38"/>
        <v>94.325000000000045</v>
      </c>
      <c r="S190" s="20"/>
      <c r="T190" s="21" t="s">
        <v>190</v>
      </c>
    </row>
    <row r="191" spans="1:20" ht="15.75" x14ac:dyDescent="0.25">
      <c r="A191" s="11">
        <f>[1]Лист4!A77</f>
        <v>8</v>
      </c>
      <c r="B191" s="12" t="str">
        <f>[1]Лист4!C77</f>
        <v>Амми</v>
      </c>
      <c r="C191" s="13">
        <f>[1]Лист4!D77</f>
        <v>75</v>
      </c>
      <c r="D191" s="14">
        <f>[1]Лист4!F77</f>
        <v>0.55000000000000004</v>
      </c>
      <c r="E191" s="15">
        <f t="shared" si="26"/>
        <v>41.25</v>
      </c>
      <c r="F191" s="15">
        <f t="shared" si="27"/>
        <v>4.5430000000000005E-2</v>
      </c>
      <c r="G191" s="16">
        <f t="shared" si="43"/>
        <v>1.1200000000000001</v>
      </c>
      <c r="H191" s="16">
        <f t="shared" si="29"/>
        <v>3.32</v>
      </c>
      <c r="I191" s="16">
        <f t="shared" si="30"/>
        <v>3.84</v>
      </c>
      <c r="J191" s="16">
        <f t="shared" si="31"/>
        <v>3.2899999999999996</v>
      </c>
      <c r="K191" s="16">
        <f t="shared" si="32"/>
        <v>4.7024999999999997</v>
      </c>
      <c r="L191" s="17">
        <f t="shared" si="44"/>
        <v>1.7360000000000002</v>
      </c>
      <c r="M191" s="16">
        <f t="shared" si="33"/>
        <v>1.53</v>
      </c>
      <c r="N191" s="17">
        <f t="shared" si="34"/>
        <v>4.95</v>
      </c>
      <c r="O191" s="17">
        <f t="shared" si="35"/>
        <v>4.3599999999999994</v>
      </c>
      <c r="P191" s="18">
        <f t="shared" si="36"/>
        <v>84.000000000000014</v>
      </c>
      <c r="Q191" s="19">
        <f t="shared" si="37"/>
        <v>130.20000000000002</v>
      </c>
      <c r="R191" s="19">
        <f t="shared" si="38"/>
        <v>46.2</v>
      </c>
      <c r="S191" s="20"/>
      <c r="T191" s="21" t="s">
        <v>191</v>
      </c>
    </row>
    <row r="192" spans="1:20" ht="15.75" x14ac:dyDescent="0.25">
      <c r="A192" s="11">
        <f>[1]Лист4!A78</f>
        <v>8</v>
      </c>
      <c r="B192" s="12" t="str">
        <f>[1]Лист4!C78</f>
        <v>Анигозантус желтый</v>
      </c>
      <c r="C192" s="13">
        <f>[1]Лист4!D78</f>
        <v>120</v>
      </c>
      <c r="D192" s="14">
        <f>[1]Лист4!F78</f>
        <v>0.18</v>
      </c>
      <c r="E192" s="15">
        <f t="shared" si="26"/>
        <v>21.599999999999998</v>
      </c>
      <c r="F192" s="15">
        <f t="shared" si="27"/>
        <v>1.4867999999999999E-2</v>
      </c>
      <c r="G192" s="16">
        <f t="shared" si="43"/>
        <v>0.48</v>
      </c>
      <c r="H192" s="16">
        <f t="shared" si="29"/>
        <v>1.43</v>
      </c>
      <c r="I192" s="16">
        <f t="shared" si="30"/>
        <v>1.65</v>
      </c>
      <c r="J192" s="16">
        <f t="shared" si="31"/>
        <v>1.41</v>
      </c>
      <c r="K192" s="16">
        <f t="shared" si="32"/>
        <v>2.3084999999999996</v>
      </c>
      <c r="L192" s="17">
        <v>0.85</v>
      </c>
      <c r="M192" s="16">
        <f t="shared" si="33"/>
        <v>0.75</v>
      </c>
      <c r="N192" s="17">
        <f t="shared" si="34"/>
        <v>2.4299999999999997</v>
      </c>
      <c r="O192" s="17">
        <f t="shared" si="35"/>
        <v>2.1399999999999997</v>
      </c>
      <c r="P192" s="18">
        <f t="shared" si="36"/>
        <v>57.599999999999994</v>
      </c>
      <c r="Q192" s="19">
        <f t="shared" si="37"/>
        <v>102</v>
      </c>
      <c r="R192" s="19">
        <f t="shared" si="38"/>
        <v>44.400000000000006</v>
      </c>
      <c r="S192" s="20"/>
      <c r="T192" s="21" t="s">
        <v>192</v>
      </c>
    </row>
    <row r="193" spans="1:20" ht="15.75" x14ac:dyDescent="0.25">
      <c r="A193" s="11">
        <f>[1]Лист4!A82</f>
        <v>8</v>
      </c>
      <c r="B193" s="12" t="str">
        <f>[1]Лист4!C82</f>
        <v>Антиринум белый</v>
      </c>
      <c r="C193" s="13">
        <f>[1]Лист4!D82</f>
        <v>120</v>
      </c>
      <c r="D193" s="14">
        <f>[1]Лист4!F82</f>
        <v>0.37</v>
      </c>
      <c r="E193" s="15">
        <f t="shared" si="26"/>
        <v>44.4</v>
      </c>
      <c r="F193" s="15">
        <f t="shared" si="27"/>
        <v>3.0562000000000002E-2</v>
      </c>
      <c r="G193" s="16">
        <f t="shared" si="43"/>
        <v>0.81</v>
      </c>
      <c r="H193" s="16">
        <f t="shared" si="29"/>
        <v>2.4099999999999997</v>
      </c>
      <c r="I193" s="16">
        <f t="shared" si="30"/>
        <v>2.78</v>
      </c>
      <c r="J193" s="16">
        <f t="shared" si="31"/>
        <v>2.38</v>
      </c>
      <c r="K193" s="16">
        <f t="shared" si="32"/>
        <v>3.4009999999999994</v>
      </c>
      <c r="L193" s="17">
        <f t="shared" ref="L193:L204" si="45">G193*1.55</f>
        <v>1.2555000000000001</v>
      </c>
      <c r="M193" s="16">
        <f t="shared" si="33"/>
        <v>1.1100000000000001</v>
      </c>
      <c r="N193" s="17">
        <f t="shared" si="34"/>
        <v>3.5799999999999996</v>
      </c>
      <c r="O193" s="17">
        <f t="shared" si="35"/>
        <v>3.1599999999999997</v>
      </c>
      <c r="P193" s="18">
        <f t="shared" si="36"/>
        <v>97.2</v>
      </c>
      <c r="Q193" s="19">
        <f t="shared" si="37"/>
        <v>150.66</v>
      </c>
      <c r="R193" s="19">
        <f t="shared" si="38"/>
        <v>53.459999999999994</v>
      </c>
      <c r="S193" s="20"/>
      <c r="T193" s="21" t="s">
        <v>193</v>
      </c>
    </row>
    <row r="194" spans="1:20" ht="15.75" x14ac:dyDescent="0.25">
      <c r="A194" s="11">
        <f>[1]Лист4!A83</f>
        <v>8</v>
      </c>
      <c r="B194" s="12" t="str">
        <f>[1]Лист4!C83</f>
        <v>Антиринум желтый</v>
      </c>
      <c r="C194" s="13">
        <f>[1]Лист4!D83</f>
        <v>100</v>
      </c>
      <c r="D194" s="14">
        <f>[1]Лист4!F83</f>
        <v>0.48</v>
      </c>
      <c r="E194" s="15">
        <f t="shared" si="26"/>
        <v>48</v>
      </c>
      <c r="F194" s="15">
        <f t="shared" si="27"/>
        <v>3.9647999999999996E-2</v>
      </c>
      <c r="G194" s="16">
        <f t="shared" si="43"/>
        <v>1</v>
      </c>
      <c r="H194" s="16">
        <f t="shared" si="29"/>
        <v>2.9699999999999998</v>
      </c>
      <c r="I194" s="16">
        <f t="shared" si="30"/>
        <v>3.42</v>
      </c>
      <c r="J194" s="16">
        <f t="shared" si="31"/>
        <v>2.94</v>
      </c>
      <c r="K194" s="16">
        <f t="shared" si="32"/>
        <v>4.1989999999999998</v>
      </c>
      <c r="L194" s="17">
        <f t="shared" si="45"/>
        <v>1.55</v>
      </c>
      <c r="M194" s="16">
        <f t="shared" si="33"/>
        <v>1.37</v>
      </c>
      <c r="N194" s="17">
        <f t="shared" si="34"/>
        <v>4.42</v>
      </c>
      <c r="O194" s="17">
        <f t="shared" si="35"/>
        <v>3.8899999999999997</v>
      </c>
      <c r="P194" s="18">
        <f t="shared" si="36"/>
        <v>100</v>
      </c>
      <c r="Q194" s="19">
        <f t="shared" si="37"/>
        <v>155</v>
      </c>
      <c r="R194" s="19">
        <f t="shared" si="38"/>
        <v>55</v>
      </c>
      <c r="S194" s="20"/>
      <c r="T194" s="21" t="s">
        <v>194</v>
      </c>
    </row>
    <row r="195" spans="1:20" ht="15.75" x14ac:dyDescent="0.25">
      <c r="A195" s="11">
        <f>[1]Лист4!A81</f>
        <v>8</v>
      </c>
      <c r="B195" s="12" t="str">
        <f>[1]Лист4!C81</f>
        <v>Антиринум красный</v>
      </c>
      <c r="C195" s="13">
        <f>[1]Лист4!D81</f>
        <v>120</v>
      </c>
      <c r="D195" s="14">
        <f>[1]Лист4!F81</f>
        <v>0.42</v>
      </c>
      <c r="E195" s="15">
        <f t="shared" ref="E195:E258" si="46">D195*C195</f>
        <v>50.4</v>
      </c>
      <c r="F195" s="15">
        <f t="shared" ref="F195:F258" si="47">D195*1.18*0.07</f>
        <v>3.4692000000000001E-2</v>
      </c>
      <c r="G195" s="16">
        <f t="shared" si="43"/>
        <v>0.89</v>
      </c>
      <c r="H195" s="16">
        <f t="shared" ref="H195:H258" si="48">ROUNDUP(G195*1.04*$N$1,2)</f>
        <v>2.6399999999999997</v>
      </c>
      <c r="I195" s="16">
        <f t="shared" ref="I195:I258" si="49">ROUNDUP(G195*1.2*$N$1,2)</f>
        <v>3.05</v>
      </c>
      <c r="J195" s="16">
        <f t="shared" ref="J195:J258" si="50">ROUNDUP(G195*1.03*$N$1,2)</f>
        <v>2.6199999999999997</v>
      </c>
      <c r="K195" s="16">
        <f t="shared" ref="K195:K258" si="51">N195*0.95</f>
        <v>3.7429999999999999</v>
      </c>
      <c r="L195" s="17">
        <f t="shared" si="45"/>
        <v>1.3795000000000002</v>
      </c>
      <c r="M195" s="16">
        <f t="shared" ref="M195:M258" si="52">ROUNDUP(L195*0.88,2)</f>
        <v>1.22</v>
      </c>
      <c r="N195" s="17">
        <f t="shared" ref="N195:N258" si="53">ROUNDUP(L195*$N$1,2)</f>
        <v>3.94</v>
      </c>
      <c r="O195" s="17">
        <f t="shared" ref="O195:O258" si="54">ROUNDUP(N195*0.88,2)</f>
        <v>3.4699999999999998</v>
      </c>
      <c r="P195" s="18">
        <f t="shared" ref="P195:P258" si="55">G195*C195</f>
        <v>106.8</v>
      </c>
      <c r="Q195" s="19">
        <f t="shared" ref="Q195:Q258" si="56">L195*C195</f>
        <v>165.54000000000002</v>
      </c>
      <c r="R195" s="19">
        <f t="shared" ref="R195:R258" si="57">Q195-P195</f>
        <v>58.740000000000023</v>
      </c>
      <c r="S195" s="20"/>
      <c r="T195" s="21" t="s">
        <v>195</v>
      </c>
    </row>
    <row r="196" spans="1:20" ht="15.75" x14ac:dyDescent="0.25">
      <c r="A196" s="11">
        <f>[1]Лист4!A80</f>
        <v>8</v>
      </c>
      <c r="B196" s="12" t="str">
        <f>[1]Лист4!C80</f>
        <v>Антиринум Розовый</v>
      </c>
      <c r="C196" s="13">
        <f>[1]Лист4!D80</f>
        <v>120</v>
      </c>
      <c r="D196" s="14">
        <f>[1]Лист4!F80</f>
        <v>0.52</v>
      </c>
      <c r="E196" s="15">
        <f t="shared" si="46"/>
        <v>62.400000000000006</v>
      </c>
      <c r="F196" s="15">
        <f t="shared" si="47"/>
        <v>4.2952000000000004E-2</v>
      </c>
      <c r="G196" s="16">
        <f t="shared" si="43"/>
        <v>1.07</v>
      </c>
      <c r="H196" s="16">
        <f t="shared" si="48"/>
        <v>3.1799999999999997</v>
      </c>
      <c r="I196" s="16">
        <f t="shared" si="49"/>
        <v>3.6599999999999997</v>
      </c>
      <c r="J196" s="16">
        <f t="shared" si="50"/>
        <v>3.15</v>
      </c>
      <c r="K196" s="16">
        <f t="shared" si="51"/>
        <v>4.4934999999999992</v>
      </c>
      <c r="L196" s="17">
        <f t="shared" si="45"/>
        <v>1.6585000000000001</v>
      </c>
      <c r="M196" s="16">
        <f t="shared" si="52"/>
        <v>1.46</v>
      </c>
      <c r="N196" s="17">
        <f t="shared" si="53"/>
        <v>4.7299999999999995</v>
      </c>
      <c r="O196" s="17">
        <f t="shared" si="54"/>
        <v>4.17</v>
      </c>
      <c r="P196" s="18">
        <f t="shared" si="55"/>
        <v>128.4</v>
      </c>
      <c r="Q196" s="19">
        <f t="shared" si="56"/>
        <v>199.02</v>
      </c>
      <c r="R196" s="19">
        <f t="shared" si="57"/>
        <v>70.62</v>
      </c>
      <c r="S196" s="20"/>
      <c r="T196" s="21" t="s">
        <v>196</v>
      </c>
    </row>
    <row r="197" spans="1:20" ht="15.75" x14ac:dyDescent="0.25">
      <c r="A197" s="11">
        <f>[1]Лист4!A79</f>
        <v>8</v>
      </c>
      <c r="B197" s="12" t="str">
        <f>[1]Лист4!C79</f>
        <v>Антуриум белый</v>
      </c>
      <c r="C197" s="13">
        <f>[1]Лист4!D79</f>
        <v>36</v>
      </c>
      <c r="D197" s="14">
        <f>[1]Лист4!F79</f>
        <v>1.82</v>
      </c>
      <c r="E197" s="15">
        <f t="shared" si="46"/>
        <v>65.52</v>
      </c>
      <c r="F197" s="15">
        <f t="shared" si="47"/>
        <v>0.15033200000000002</v>
      </c>
      <c r="G197" s="16">
        <f t="shared" si="43"/>
        <v>3.31</v>
      </c>
      <c r="H197" s="16">
        <f t="shared" si="48"/>
        <v>9.82</v>
      </c>
      <c r="I197" s="16">
        <f t="shared" si="49"/>
        <v>11.33</v>
      </c>
      <c r="J197" s="16">
        <f t="shared" si="50"/>
        <v>9.7200000000000006</v>
      </c>
      <c r="K197" s="16">
        <f t="shared" si="51"/>
        <v>13.898499999999999</v>
      </c>
      <c r="L197" s="17">
        <f t="shared" si="45"/>
        <v>5.1305000000000005</v>
      </c>
      <c r="M197" s="16">
        <f t="shared" si="52"/>
        <v>4.5199999999999996</v>
      </c>
      <c r="N197" s="17">
        <f t="shared" si="53"/>
        <v>14.629999999999999</v>
      </c>
      <c r="O197" s="17">
        <f t="shared" si="54"/>
        <v>12.879999999999999</v>
      </c>
      <c r="P197" s="18">
        <f t="shared" si="55"/>
        <v>119.16</v>
      </c>
      <c r="Q197" s="19">
        <f t="shared" si="56"/>
        <v>184.69800000000001</v>
      </c>
      <c r="R197" s="19">
        <f t="shared" si="57"/>
        <v>65.538000000000011</v>
      </c>
      <c r="S197" s="20"/>
      <c r="T197" s="21" t="s">
        <v>197</v>
      </c>
    </row>
    <row r="198" spans="1:20" ht="15.75" x14ac:dyDescent="0.25">
      <c r="A198" s="11">
        <f>[1]Лист4!A84</f>
        <v>8</v>
      </c>
      <c r="B198" s="12" t="str">
        <f>[1]Лист4!C84</f>
        <v>Астильба красная</v>
      </c>
      <c r="C198" s="13">
        <f>[1]Лист4!D84</f>
        <v>100</v>
      </c>
      <c r="D198" s="14">
        <f>[1]Лист4!F84</f>
        <v>0.35</v>
      </c>
      <c r="E198" s="15">
        <f t="shared" si="46"/>
        <v>35</v>
      </c>
      <c r="F198" s="15">
        <f t="shared" si="47"/>
        <v>2.8910000000000002E-2</v>
      </c>
      <c r="G198" s="16">
        <f t="shared" si="43"/>
        <v>0.77</v>
      </c>
      <c r="H198" s="16">
        <f t="shared" si="48"/>
        <v>2.2899999999999996</v>
      </c>
      <c r="I198" s="16">
        <f t="shared" si="49"/>
        <v>2.6399999999999997</v>
      </c>
      <c r="J198" s="16">
        <f t="shared" si="50"/>
        <v>2.2699999999999996</v>
      </c>
      <c r="K198" s="16">
        <f t="shared" si="51"/>
        <v>3.2394999999999996</v>
      </c>
      <c r="L198" s="17">
        <f t="shared" si="45"/>
        <v>1.1935</v>
      </c>
      <c r="M198" s="16">
        <f t="shared" si="52"/>
        <v>1.06</v>
      </c>
      <c r="N198" s="17">
        <f t="shared" si="53"/>
        <v>3.4099999999999997</v>
      </c>
      <c r="O198" s="17">
        <f t="shared" si="54"/>
        <v>3.01</v>
      </c>
      <c r="P198" s="18">
        <f t="shared" si="55"/>
        <v>77</v>
      </c>
      <c r="Q198" s="19">
        <f t="shared" si="56"/>
        <v>119.35</v>
      </c>
      <c r="R198" s="19">
        <f t="shared" si="57"/>
        <v>42.349999999999994</v>
      </c>
      <c r="S198" s="20"/>
      <c r="T198" s="21" t="s">
        <v>198</v>
      </c>
    </row>
    <row r="199" spans="1:20" ht="15.75" x14ac:dyDescent="0.25">
      <c r="A199" s="11">
        <f>[1]Лист4!A85</f>
        <v>8</v>
      </c>
      <c r="B199" s="12" t="str">
        <f>[1]Лист4!C85</f>
        <v>Астильба розовая</v>
      </c>
      <c r="C199" s="13">
        <f>[1]Лист4!D85</f>
        <v>100</v>
      </c>
      <c r="D199" s="14">
        <f>[1]Лист4!F85</f>
        <v>0.44</v>
      </c>
      <c r="E199" s="15">
        <f t="shared" si="46"/>
        <v>44</v>
      </c>
      <c r="F199" s="15">
        <f t="shared" si="47"/>
        <v>3.6344000000000001E-2</v>
      </c>
      <c r="G199" s="16">
        <f t="shared" si="43"/>
        <v>0.93</v>
      </c>
      <c r="H199" s="16">
        <f t="shared" si="48"/>
        <v>2.76</v>
      </c>
      <c r="I199" s="16">
        <f t="shared" si="49"/>
        <v>3.19</v>
      </c>
      <c r="J199" s="16">
        <f t="shared" si="50"/>
        <v>2.7399999999999998</v>
      </c>
      <c r="K199" s="16">
        <f t="shared" si="51"/>
        <v>3.9044999999999992</v>
      </c>
      <c r="L199" s="17">
        <f t="shared" si="45"/>
        <v>1.4415000000000002</v>
      </c>
      <c r="M199" s="16">
        <f t="shared" si="52"/>
        <v>1.27</v>
      </c>
      <c r="N199" s="17">
        <f t="shared" si="53"/>
        <v>4.1099999999999994</v>
      </c>
      <c r="O199" s="17">
        <f t="shared" si="54"/>
        <v>3.6199999999999997</v>
      </c>
      <c r="P199" s="18">
        <f t="shared" si="55"/>
        <v>93</v>
      </c>
      <c r="Q199" s="19">
        <f t="shared" si="56"/>
        <v>144.15000000000003</v>
      </c>
      <c r="R199" s="19">
        <f t="shared" si="57"/>
        <v>51.150000000000034</v>
      </c>
      <c r="S199" s="20"/>
      <c r="T199" s="21" t="s">
        <v>199</v>
      </c>
    </row>
    <row r="200" spans="1:20" ht="15.75" x14ac:dyDescent="0.25">
      <c r="A200" s="11">
        <f>[1]Лист4!A86</f>
        <v>8</v>
      </c>
      <c r="B200" s="12" t="str">
        <f>[1]Лист4!C86</f>
        <v>Бруния</v>
      </c>
      <c r="C200" s="13">
        <f>[1]Лист4!D86</f>
        <v>50</v>
      </c>
      <c r="D200" s="14">
        <f>[1]Лист4!F86</f>
        <v>0.49</v>
      </c>
      <c r="E200" s="15">
        <f t="shared" si="46"/>
        <v>24.5</v>
      </c>
      <c r="F200" s="15">
        <f t="shared" si="47"/>
        <v>4.0473999999999996E-2</v>
      </c>
      <c r="G200" s="16">
        <f t="shared" si="43"/>
        <v>1.01</v>
      </c>
      <c r="H200" s="16">
        <f t="shared" si="48"/>
        <v>3</v>
      </c>
      <c r="I200" s="16">
        <f t="shared" si="49"/>
        <v>3.46</v>
      </c>
      <c r="J200" s="16">
        <f t="shared" si="50"/>
        <v>2.9699999999999998</v>
      </c>
      <c r="K200" s="16">
        <f t="shared" si="51"/>
        <v>4.2464999999999993</v>
      </c>
      <c r="L200" s="17">
        <f t="shared" si="45"/>
        <v>1.5655000000000001</v>
      </c>
      <c r="M200" s="16">
        <f t="shared" si="52"/>
        <v>1.3800000000000001</v>
      </c>
      <c r="N200" s="17">
        <f t="shared" si="53"/>
        <v>4.47</v>
      </c>
      <c r="O200" s="17">
        <f t="shared" si="54"/>
        <v>3.94</v>
      </c>
      <c r="P200" s="18">
        <f t="shared" si="55"/>
        <v>50.5</v>
      </c>
      <c r="Q200" s="19">
        <f t="shared" si="56"/>
        <v>78.275000000000006</v>
      </c>
      <c r="R200" s="19">
        <f t="shared" si="57"/>
        <v>27.775000000000006</v>
      </c>
      <c r="S200" s="20"/>
      <c r="T200" s="21" t="s">
        <v>200</v>
      </c>
    </row>
    <row r="201" spans="1:20" ht="15.75" x14ac:dyDescent="0.25">
      <c r="A201" s="11">
        <f>[1]Лист4!A193</f>
        <v>8</v>
      </c>
      <c r="B201" s="12" t="str">
        <f>[1]Лист4!C193</f>
        <v>Вибурнум Росеум</v>
      </c>
      <c r="C201" s="13">
        <f>[1]Лист4!D193</f>
        <v>240</v>
      </c>
      <c r="D201" s="14">
        <f>[1]Лист4!F193</f>
        <v>2.3499999999999996</v>
      </c>
      <c r="E201" s="15">
        <f t="shared" si="46"/>
        <v>563.99999999999989</v>
      </c>
      <c r="F201" s="15">
        <f t="shared" si="47"/>
        <v>0.19410999999999998</v>
      </c>
      <c r="G201" s="16">
        <f t="shared" si="43"/>
        <v>4.2300000000000004</v>
      </c>
      <c r="H201" s="16">
        <f t="shared" si="48"/>
        <v>12.54</v>
      </c>
      <c r="I201" s="16">
        <f t="shared" si="49"/>
        <v>14.47</v>
      </c>
      <c r="J201" s="16">
        <f t="shared" si="50"/>
        <v>12.42</v>
      </c>
      <c r="K201" s="16">
        <f t="shared" si="51"/>
        <v>17.755500000000001</v>
      </c>
      <c r="L201" s="17">
        <f t="shared" si="45"/>
        <v>6.5565000000000007</v>
      </c>
      <c r="M201" s="16">
        <f t="shared" si="52"/>
        <v>5.77</v>
      </c>
      <c r="N201" s="17">
        <f t="shared" si="53"/>
        <v>18.690000000000001</v>
      </c>
      <c r="O201" s="17">
        <f t="shared" si="54"/>
        <v>16.450000000000003</v>
      </c>
      <c r="P201" s="18">
        <f t="shared" si="55"/>
        <v>1015.2</v>
      </c>
      <c r="Q201" s="19">
        <f t="shared" si="56"/>
        <v>1573.5600000000002</v>
      </c>
      <c r="R201" s="19">
        <f t="shared" si="57"/>
        <v>558.36000000000013</v>
      </c>
      <c r="S201" s="20"/>
      <c r="T201" s="21" t="s">
        <v>201</v>
      </c>
    </row>
    <row r="202" spans="1:20" ht="15.75" x14ac:dyDescent="0.25">
      <c r="A202" s="11">
        <f>[1]Лист4!A123</f>
        <v>8</v>
      </c>
      <c r="B202" s="12" t="str">
        <f>[1]Лист4!C123</f>
        <v>Гербера микс</v>
      </c>
      <c r="C202" s="13">
        <f>[1]Лист4!D123</f>
        <v>135</v>
      </c>
      <c r="D202" s="14">
        <f>[1]Лист4!F123</f>
        <v>0.47</v>
      </c>
      <c r="E202" s="15">
        <f t="shared" si="46"/>
        <v>63.449999999999996</v>
      </c>
      <c r="F202" s="15">
        <f t="shared" si="47"/>
        <v>3.8822000000000002E-2</v>
      </c>
      <c r="G202" s="16">
        <f t="shared" si="43"/>
        <v>0.98</v>
      </c>
      <c r="H202" s="16">
        <f t="shared" si="48"/>
        <v>2.9099999999999997</v>
      </c>
      <c r="I202" s="16">
        <f t="shared" si="49"/>
        <v>3.36</v>
      </c>
      <c r="J202" s="16">
        <f t="shared" si="50"/>
        <v>2.88</v>
      </c>
      <c r="K202" s="16">
        <f t="shared" si="51"/>
        <v>4.1135000000000002</v>
      </c>
      <c r="L202" s="17">
        <f t="shared" si="45"/>
        <v>1.5189999999999999</v>
      </c>
      <c r="M202" s="16">
        <f t="shared" si="52"/>
        <v>1.34</v>
      </c>
      <c r="N202" s="17">
        <f t="shared" si="53"/>
        <v>4.33</v>
      </c>
      <c r="O202" s="17">
        <f t="shared" si="54"/>
        <v>3.82</v>
      </c>
      <c r="P202" s="18">
        <f t="shared" si="55"/>
        <v>132.30000000000001</v>
      </c>
      <c r="Q202" s="19">
        <f t="shared" si="56"/>
        <v>205.065</v>
      </c>
      <c r="R202" s="19">
        <f t="shared" si="57"/>
        <v>72.764999999999986</v>
      </c>
      <c r="S202" s="20"/>
      <c r="T202" s="21" t="s">
        <v>202</v>
      </c>
    </row>
    <row r="203" spans="1:20" ht="15.75" x14ac:dyDescent="0.25">
      <c r="A203" s="11">
        <f>[1]Лист4!A128</f>
        <v>8</v>
      </c>
      <c r="B203" s="12" t="str">
        <f>[1]Лист4!C128</f>
        <v>Гербера мини Алекс-Нур</v>
      </c>
      <c r="C203" s="13">
        <f>[1]Лист4!D128</f>
        <v>160</v>
      </c>
      <c r="D203" s="14">
        <f>[1]Лист4!F128</f>
        <v>0.22</v>
      </c>
      <c r="E203" s="15">
        <f t="shared" si="46"/>
        <v>35.200000000000003</v>
      </c>
      <c r="F203" s="15">
        <f t="shared" si="47"/>
        <v>1.8172000000000001E-2</v>
      </c>
      <c r="G203" s="16">
        <f t="shared" si="43"/>
        <v>0.55000000000000004</v>
      </c>
      <c r="H203" s="16">
        <f t="shared" si="48"/>
        <v>1.64</v>
      </c>
      <c r="I203" s="16">
        <f t="shared" si="49"/>
        <v>1.89</v>
      </c>
      <c r="J203" s="16">
        <f t="shared" si="50"/>
        <v>1.62</v>
      </c>
      <c r="K203" s="16">
        <f t="shared" si="51"/>
        <v>2.3084999999999996</v>
      </c>
      <c r="L203" s="17">
        <f t="shared" si="45"/>
        <v>0.85250000000000015</v>
      </c>
      <c r="M203" s="16">
        <f t="shared" si="52"/>
        <v>0.76</v>
      </c>
      <c r="N203" s="17">
        <f t="shared" si="53"/>
        <v>2.4299999999999997</v>
      </c>
      <c r="O203" s="17">
        <f t="shared" si="54"/>
        <v>2.1399999999999997</v>
      </c>
      <c r="P203" s="18">
        <f t="shared" si="55"/>
        <v>88</v>
      </c>
      <c r="Q203" s="19">
        <f t="shared" si="56"/>
        <v>136.40000000000003</v>
      </c>
      <c r="R203" s="19">
        <f t="shared" si="57"/>
        <v>48.400000000000034</v>
      </c>
      <c r="S203" s="20"/>
      <c r="T203" s="21" t="s">
        <v>203</v>
      </c>
    </row>
    <row r="204" spans="1:20" ht="15.75" x14ac:dyDescent="0.25">
      <c r="A204" s="11">
        <f>[1]Лист4!A132</f>
        <v>8</v>
      </c>
      <c r="B204" s="12" t="str">
        <f>[1]Лист4!C132</f>
        <v>Гербера мини белая</v>
      </c>
      <c r="C204" s="13">
        <f>[1]Лист4!D132</f>
        <v>400</v>
      </c>
      <c r="D204" s="14">
        <f>[1]Лист4!F132</f>
        <v>0.22</v>
      </c>
      <c r="E204" s="15">
        <f t="shared" si="46"/>
        <v>88</v>
      </c>
      <c r="F204" s="15">
        <f t="shared" si="47"/>
        <v>1.8172000000000001E-2</v>
      </c>
      <c r="G204" s="16">
        <f t="shared" si="43"/>
        <v>0.55000000000000004</v>
      </c>
      <c r="H204" s="16">
        <f t="shared" si="48"/>
        <v>1.64</v>
      </c>
      <c r="I204" s="16">
        <f t="shared" si="49"/>
        <v>1.89</v>
      </c>
      <c r="J204" s="16">
        <f t="shared" si="50"/>
        <v>1.62</v>
      </c>
      <c r="K204" s="16">
        <f t="shared" si="51"/>
        <v>2.3084999999999996</v>
      </c>
      <c r="L204" s="17">
        <f t="shared" si="45"/>
        <v>0.85250000000000015</v>
      </c>
      <c r="M204" s="16">
        <f t="shared" si="52"/>
        <v>0.76</v>
      </c>
      <c r="N204" s="17">
        <f t="shared" si="53"/>
        <v>2.4299999999999997</v>
      </c>
      <c r="O204" s="17">
        <f t="shared" si="54"/>
        <v>2.1399999999999997</v>
      </c>
      <c r="P204" s="18">
        <f t="shared" si="55"/>
        <v>220.00000000000003</v>
      </c>
      <c r="Q204" s="19">
        <f t="shared" si="56"/>
        <v>341.00000000000006</v>
      </c>
      <c r="R204" s="19">
        <f t="shared" si="57"/>
        <v>121.00000000000003</v>
      </c>
      <c r="S204" s="20"/>
      <c r="T204" s="21" t="s">
        <v>204</v>
      </c>
    </row>
    <row r="205" spans="1:20" ht="15.75" x14ac:dyDescent="0.25">
      <c r="A205" s="11">
        <f>[1]Лист4!A129</f>
        <v>8</v>
      </c>
      <c r="B205" s="12" t="str">
        <f>[1]Лист4!C129</f>
        <v>Гербера мини бледно-розовая</v>
      </c>
      <c r="C205" s="13">
        <f>[1]Лист4!D129</f>
        <v>240</v>
      </c>
      <c r="D205" s="14">
        <f>[1]Лист4!F129</f>
        <v>0.43</v>
      </c>
      <c r="E205" s="15">
        <f t="shared" si="46"/>
        <v>103.2</v>
      </c>
      <c r="F205" s="15">
        <f t="shared" si="47"/>
        <v>3.5518000000000001E-2</v>
      </c>
      <c r="G205" s="16">
        <f t="shared" si="43"/>
        <v>0.91</v>
      </c>
      <c r="H205" s="16">
        <f t="shared" si="48"/>
        <v>2.6999999999999997</v>
      </c>
      <c r="I205" s="16">
        <f t="shared" si="49"/>
        <v>3.1199999999999997</v>
      </c>
      <c r="J205" s="16">
        <f t="shared" si="50"/>
        <v>2.6799999999999997</v>
      </c>
      <c r="K205" s="16">
        <f t="shared" si="51"/>
        <v>3.2489999999999997</v>
      </c>
      <c r="L205" s="17">
        <v>1.2</v>
      </c>
      <c r="M205" s="16">
        <f t="shared" si="52"/>
        <v>1.06</v>
      </c>
      <c r="N205" s="17">
        <f t="shared" si="53"/>
        <v>3.42</v>
      </c>
      <c r="O205" s="17">
        <f t="shared" si="54"/>
        <v>3.01</v>
      </c>
      <c r="P205" s="18">
        <f t="shared" si="55"/>
        <v>218.4</v>
      </c>
      <c r="Q205" s="19">
        <f t="shared" si="56"/>
        <v>288</v>
      </c>
      <c r="R205" s="19">
        <f t="shared" si="57"/>
        <v>69.599999999999994</v>
      </c>
      <c r="S205" s="20"/>
      <c r="T205" s="21" t="s">
        <v>205</v>
      </c>
    </row>
    <row r="206" spans="1:20" ht="15.75" x14ac:dyDescent="0.25">
      <c r="A206" s="11">
        <f>[1]Лист4!A130</f>
        <v>8</v>
      </c>
      <c r="B206" s="12" t="str">
        <f>[1]Лист4!C130</f>
        <v>Гербера мини розовая</v>
      </c>
      <c r="C206" s="13">
        <f>[1]Лист4!D130</f>
        <v>160</v>
      </c>
      <c r="D206" s="14">
        <f>[1]Лист4!F130</f>
        <v>0.25</v>
      </c>
      <c r="E206" s="15">
        <f t="shared" si="46"/>
        <v>40</v>
      </c>
      <c r="F206" s="15">
        <f t="shared" si="47"/>
        <v>2.0650000000000002E-2</v>
      </c>
      <c r="G206" s="16">
        <f t="shared" si="43"/>
        <v>0.6</v>
      </c>
      <c r="H206" s="16">
        <f t="shared" si="48"/>
        <v>1.78</v>
      </c>
      <c r="I206" s="16">
        <f t="shared" si="49"/>
        <v>2.0599999999999996</v>
      </c>
      <c r="J206" s="16">
        <f t="shared" si="50"/>
        <v>1.77</v>
      </c>
      <c r="K206" s="16">
        <f t="shared" si="51"/>
        <v>2.5745</v>
      </c>
      <c r="L206" s="17">
        <v>0.95</v>
      </c>
      <c r="M206" s="16">
        <f t="shared" si="52"/>
        <v>0.84</v>
      </c>
      <c r="N206" s="17">
        <f t="shared" si="53"/>
        <v>2.71</v>
      </c>
      <c r="O206" s="17">
        <f t="shared" si="54"/>
        <v>2.3899999999999997</v>
      </c>
      <c r="P206" s="18">
        <f t="shared" si="55"/>
        <v>96</v>
      </c>
      <c r="Q206" s="19">
        <f t="shared" si="56"/>
        <v>152</v>
      </c>
      <c r="R206" s="19">
        <f t="shared" si="57"/>
        <v>56</v>
      </c>
      <c r="S206" s="20"/>
      <c r="T206" s="21" t="s">
        <v>206</v>
      </c>
    </row>
    <row r="207" spans="1:20" ht="15.75" x14ac:dyDescent="0.25">
      <c r="A207" s="11">
        <f>[1]Лист4!A133</f>
        <v>8</v>
      </c>
      <c r="B207" s="12" t="str">
        <f>[1]Лист4!C133</f>
        <v>Гербера мини Талент</v>
      </c>
      <c r="C207" s="13">
        <f>[1]Лист4!D133</f>
        <v>480</v>
      </c>
      <c r="D207" s="14">
        <f>[1]Лист4!F133</f>
        <v>0.42</v>
      </c>
      <c r="E207" s="15">
        <f t="shared" si="46"/>
        <v>201.6</v>
      </c>
      <c r="F207" s="15">
        <f t="shared" si="47"/>
        <v>3.4692000000000001E-2</v>
      </c>
      <c r="G207" s="16">
        <f t="shared" si="43"/>
        <v>0.89</v>
      </c>
      <c r="H207" s="16">
        <f t="shared" si="48"/>
        <v>2.6399999999999997</v>
      </c>
      <c r="I207" s="16">
        <f t="shared" si="49"/>
        <v>3.05</v>
      </c>
      <c r="J207" s="16">
        <f t="shared" si="50"/>
        <v>2.6199999999999997</v>
      </c>
      <c r="K207" s="16">
        <f t="shared" si="51"/>
        <v>3.2489999999999997</v>
      </c>
      <c r="L207" s="17">
        <v>1.2</v>
      </c>
      <c r="M207" s="16">
        <f t="shared" si="52"/>
        <v>1.06</v>
      </c>
      <c r="N207" s="17">
        <f t="shared" si="53"/>
        <v>3.42</v>
      </c>
      <c r="O207" s="17">
        <f t="shared" si="54"/>
        <v>3.01</v>
      </c>
      <c r="P207" s="18">
        <f t="shared" si="55"/>
        <v>427.2</v>
      </c>
      <c r="Q207" s="19">
        <f t="shared" si="56"/>
        <v>576</v>
      </c>
      <c r="R207" s="19">
        <f t="shared" si="57"/>
        <v>148.80000000000001</v>
      </c>
      <c r="S207" s="20"/>
      <c r="T207" s="21" t="s">
        <v>207</v>
      </c>
    </row>
    <row r="208" spans="1:20" ht="15.75" x14ac:dyDescent="0.25">
      <c r="A208" s="11">
        <f>[1]Лист4!A131</f>
        <v>8</v>
      </c>
      <c r="B208" s="12" t="str">
        <f>[1]Лист4!C131</f>
        <v>Гербера мини Эспрессо</v>
      </c>
      <c r="C208" s="13">
        <f>[1]Лист4!D131</f>
        <v>160</v>
      </c>
      <c r="D208" s="14">
        <f>[1]Лист4!F131</f>
        <v>0.2</v>
      </c>
      <c r="E208" s="15">
        <f t="shared" si="46"/>
        <v>32</v>
      </c>
      <c r="F208" s="15">
        <f t="shared" si="47"/>
        <v>1.652E-2</v>
      </c>
      <c r="G208" s="16">
        <f t="shared" si="43"/>
        <v>0.51</v>
      </c>
      <c r="H208" s="16">
        <f t="shared" si="48"/>
        <v>1.52</v>
      </c>
      <c r="I208" s="16">
        <f t="shared" si="49"/>
        <v>1.75</v>
      </c>
      <c r="J208" s="16">
        <f t="shared" si="50"/>
        <v>1.5</v>
      </c>
      <c r="K208" s="16">
        <f t="shared" si="51"/>
        <v>2.3084999999999996</v>
      </c>
      <c r="L208" s="17">
        <v>0.85</v>
      </c>
      <c r="M208" s="16">
        <f t="shared" si="52"/>
        <v>0.75</v>
      </c>
      <c r="N208" s="17">
        <f t="shared" si="53"/>
        <v>2.4299999999999997</v>
      </c>
      <c r="O208" s="17">
        <f t="shared" si="54"/>
        <v>2.1399999999999997</v>
      </c>
      <c r="P208" s="18">
        <f t="shared" si="55"/>
        <v>81.599999999999994</v>
      </c>
      <c r="Q208" s="19">
        <f t="shared" si="56"/>
        <v>136</v>
      </c>
      <c r="R208" s="19">
        <f t="shared" si="57"/>
        <v>54.400000000000006</v>
      </c>
      <c r="S208" s="20"/>
      <c r="T208" s="21" t="s">
        <v>208</v>
      </c>
    </row>
    <row r="209" spans="1:20" ht="15.75" x14ac:dyDescent="0.25">
      <c r="A209" s="11">
        <f>[1]Лист4!A124</f>
        <v>8</v>
      </c>
      <c r="B209" s="12" t="str">
        <f>[1]Лист4!C124</f>
        <v>Гербера паста крем</v>
      </c>
      <c r="C209" s="13">
        <f>[1]Лист4!D124</f>
        <v>45</v>
      </c>
      <c r="D209" s="14">
        <f>[1]Лист4!F124</f>
        <v>0.45</v>
      </c>
      <c r="E209" s="15">
        <f t="shared" si="46"/>
        <v>20.25</v>
      </c>
      <c r="F209" s="15">
        <f t="shared" si="47"/>
        <v>3.7170000000000009E-2</v>
      </c>
      <c r="G209" s="16">
        <f t="shared" si="43"/>
        <v>0.95</v>
      </c>
      <c r="H209" s="16">
        <f t="shared" si="48"/>
        <v>2.82</v>
      </c>
      <c r="I209" s="16">
        <f t="shared" si="49"/>
        <v>3.25</v>
      </c>
      <c r="J209" s="16">
        <f t="shared" si="50"/>
        <v>2.7899999999999996</v>
      </c>
      <c r="K209" s="16">
        <f t="shared" si="51"/>
        <v>3.9329999999999994</v>
      </c>
      <c r="L209" s="17">
        <v>1.45</v>
      </c>
      <c r="M209" s="16">
        <f t="shared" si="52"/>
        <v>1.28</v>
      </c>
      <c r="N209" s="17">
        <f t="shared" si="53"/>
        <v>4.1399999999999997</v>
      </c>
      <c r="O209" s="17">
        <f t="shared" si="54"/>
        <v>3.65</v>
      </c>
      <c r="P209" s="18">
        <f t="shared" si="55"/>
        <v>42.75</v>
      </c>
      <c r="Q209" s="19">
        <f t="shared" si="56"/>
        <v>65.25</v>
      </c>
      <c r="R209" s="19">
        <f t="shared" si="57"/>
        <v>22.5</v>
      </c>
      <c r="S209" s="20"/>
      <c r="T209" s="21" t="s">
        <v>209</v>
      </c>
    </row>
    <row r="210" spans="1:20" ht="15.75" x14ac:dyDescent="0.25">
      <c r="A210" s="11">
        <f>[1]Лист4!A127</f>
        <v>8</v>
      </c>
      <c r="B210" s="12" t="str">
        <f>[1]Лист4!C127</f>
        <v>Гербера помпон красная</v>
      </c>
      <c r="C210" s="13">
        <f>[1]Лист4!D127</f>
        <v>60</v>
      </c>
      <c r="D210" s="14">
        <f>[1]Лист4!F127</f>
        <v>0.21</v>
      </c>
      <c r="E210" s="15">
        <f t="shared" si="46"/>
        <v>12.6</v>
      </c>
      <c r="F210" s="15">
        <f t="shared" si="47"/>
        <v>1.7346E-2</v>
      </c>
      <c r="G210" s="16">
        <f t="shared" si="43"/>
        <v>0.53</v>
      </c>
      <c r="H210" s="16">
        <f t="shared" si="48"/>
        <v>1.58</v>
      </c>
      <c r="I210" s="16">
        <f t="shared" si="49"/>
        <v>1.82</v>
      </c>
      <c r="J210" s="16">
        <f t="shared" si="50"/>
        <v>1.56</v>
      </c>
      <c r="K210" s="16">
        <f t="shared" si="51"/>
        <v>2.3084999999999996</v>
      </c>
      <c r="L210" s="17">
        <v>0.85</v>
      </c>
      <c r="M210" s="16">
        <f t="shared" si="52"/>
        <v>0.75</v>
      </c>
      <c r="N210" s="17">
        <f t="shared" si="53"/>
        <v>2.4299999999999997</v>
      </c>
      <c r="O210" s="17">
        <f t="shared" si="54"/>
        <v>2.1399999999999997</v>
      </c>
      <c r="P210" s="18">
        <f t="shared" si="55"/>
        <v>31.8</v>
      </c>
      <c r="Q210" s="19">
        <f t="shared" si="56"/>
        <v>51</v>
      </c>
      <c r="R210" s="19">
        <f t="shared" si="57"/>
        <v>19.2</v>
      </c>
      <c r="S210" s="20"/>
      <c r="T210" s="21" t="s">
        <v>210</v>
      </c>
    </row>
    <row r="211" spans="1:20" ht="15.75" x14ac:dyDescent="0.25">
      <c r="A211" s="11">
        <f>[1]Лист4!A126</f>
        <v>8</v>
      </c>
      <c r="B211" s="12" t="str">
        <f>[1]Лист4!C126</f>
        <v>Гербера помпон пич</v>
      </c>
      <c r="C211" s="13">
        <f>[1]Лист4!D126</f>
        <v>240</v>
      </c>
      <c r="D211" s="14">
        <f>[1]Лист4!F126</f>
        <v>0.32</v>
      </c>
      <c r="E211" s="15">
        <f t="shared" si="46"/>
        <v>76.8</v>
      </c>
      <c r="F211" s="15">
        <f t="shared" si="47"/>
        <v>2.6432000000000001E-2</v>
      </c>
      <c r="G211" s="16">
        <f t="shared" si="43"/>
        <v>0.72</v>
      </c>
      <c r="H211" s="16">
        <f t="shared" si="48"/>
        <v>2.1399999999999997</v>
      </c>
      <c r="I211" s="16">
        <f t="shared" si="49"/>
        <v>2.4699999999999998</v>
      </c>
      <c r="J211" s="16">
        <f t="shared" si="50"/>
        <v>2.1199999999999997</v>
      </c>
      <c r="K211" s="16">
        <f t="shared" si="51"/>
        <v>3.1159999999999997</v>
      </c>
      <c r="L211" s="17">
        <v>1.1499999999999999</v>
      </c>
      <c r="M211" s="16">
        <f t="shared" si="52"/>
        <v>1.02</v>
      </c>
      <c r="N211" s="17">
        <f t="shared" si="53"/>
        <v>3.28</v>
      </c>
      <c r="O211" s="17">
        <f t="shared" si="54"/>
        <v>2.8899999999999997</v>
      </c>
      <c r="P211" s="18">
        <f t="shared" si="55"/>
        <v>172.79999999999998</v>
      </c>
      <c r="Q211" s="19">
        <f t="shared" si="56"/>
        <v>276</v>
      </c>
      <c r="R211" s="19">
        <f t="shared" si="57"/>
        <v>103.20000000000002</v>
      </c>
      <c r="S211" s="20"/>
      <c r="T211" s="21" t="s">
        <v>211</v>
      </c>
    </row>
    <row r="212" spans="1:20" ht="15.75" x14ac:dyDescent="0.25">
      <c r="A212" s="11">
        <f>[1]Лист4!A125</f>
        <v>8</v>
      </c>
      <c r="B212" s="12" t="str">
        <f>[1]Лист4!C125</f>
        <v>Гербера понпон белая</v>
      </c>
      <c r="C212" s="13">
        <f>[1]Лист4!D125</f>
        <v>60</v>
      </c>
      <c r="D212" s="14">
        <f>[1]Лист4!F125</f>
        <v>0.39</v>
      </c>
      <c r="E212" s="15">
        <f t="shared" si="46"/>
        <v>23.400000000000002</v>
      </c>
      <c r="F212" s="15">
        <f t="shared" si="47"/>
        <v>3.2214E-2</v>
      </c>
      <c r="G212" s="16">
        <f t="shared" si="43"/>
        <v>0.84</v>
      </c>
      <c r="H212" s="16">
        <f t="shared" si="48"/>
        <v>2.4899999999999998</v>
      </c>
      <c r="I212" s="16">
        <f t="shared" si="49"/>
        <v>2.88</v>
      </c>
      <c r="J212" s="16">
        <f t="shared" si="50"/>
        <v>2.4699999999999998</v>
      </c>
      <c r="K212" s="16">
        <f t="shared" si="51"/>
        <v>3.5339999999999998</v>
      </c>
      <c r="L212" s="17">
        <f>G212*1.55</f>
        <v>1.302</v>
      </c>
      <c r="M212" s="16">
        <f t="shared" si="52"/>
        <v>1.1499999999999999</v>
      </c>
      <c r="N212" s="17">
        <f t="shared" si="53"/>
        <v>3.7199999999999998</v>
      </c>
      <c r="O212" s="17">
        <f t="shared" si="54"/>
        <v>3.28</v>
      </c>
      <c r="P212" s="18">
        <f t="shared" si="55"/>
        <v>50.4</v>
      </c>
      <c r="Q212" s="19">
        <f t="shared" si="56"/>
        <v>78.12</v>
      </c>
      <c r="R212" s="19">
        <f t="shared" si="57"/>
        <v>27.720000000000006</v>
      </c>
      <c r="S212" s="20"/>
      <c r="T212" s="21" t="s">
        <v>212</v>
      </c>
    </row>
    <row r="213" spans="1:20" ht="15.75" x14ac:dyDescent="0.25">
      <c r="A213" s="11">
        <f>[1]Лист4!A122</f>
        <v>8</v>
      </c>
      <c r="B213" s="12" t="str">
        <f>[1]Лист4!C122</f>
        <v>Гербера розовая с малиновым центром</v>
      </c>
      <c r="C213" s="13">
        <f>[1]Лист4!D122</f>
        <v>45</v>
      </c>
      <c r="D213" s="14">
        <f>[1]Лист4!F122</f>
        <v>0.41</v>
      </c>
      <c r="E213" s="15">
        <f t="shared" si="46"/>
        <v>18.45</v>
      </c>
      <c r="F213" s="15">
        <f t="shared" si="47"/>
        <v>3.3866E-2</v>
      </c>
      <c r="G213" s="16">
        <f t="shared" si="43"/>
        <v>0.88</v>
      </c>
      <c r="H213" s="16">
        <f t="shared" si="48"/>
        <v>2.61</v>
      </c>
      <c r="I213" s="16">
        <f t="shared" si="49"/>
        <v>3.01</v>
      </c>
      <c r="J213" s="16">
        <f t="shared" si="50"/>
        <v>2.59</v>
      </c>
      <c r="K213" s="16">
        <f t="shared" si="51"/>
        <v>3.6954999999999996</v>
      </c>
      <c r="L213" s="17">
        <f>G213*1.55</f>
        <v>1.3640000000000001</v>
      </c>
      <c r="M213" s="16">
        <f t="shared" si="52"/>
        <v>1.21</v>
      </c>
      <c r="N213" s="17">
        <f t="shared" si="53"/>
        <v>3.8899999999999997</v>
      </c>
      <c r="O213" s="17">
        <f t="shared" si="54"/>
        <v>3.4299999999999997</v>
      </c>
      <c r="P213" s="18">
        <f t="shared" si="55"/>
        <v>39.6</v>
      </c>
      <c r="Q213" s="19">
        <f t="shared" si="56"/>
        <v>61.38</v>
      </c>
      <c r="R213" s="19">
        <f t="shared" si="57"/>
        <v>21.78</v>
      </c>
      <c r="S213" s="20"/>
      <c r="T213" s="21" t="s">
        <v>213</v>
      </c>
    </row>
    <row r="214" spans="1:20" ht="15.75" x14ac:dyDescent="0.25">
      <c r="A214" s="11">
        <f>[1]Лист4!A143</f>
        <v>8</v>
      </c>
      <c r="B214" s="12" t="str">
        <f>[1]Лист4!C143</f>
        <v>Гиперикум розовый</v>
      </c>
      <c r="C214" s="13">
        <f>[1]Лист4!D143</f>
        <v>50</v>
      </c>
      <c r="D214" s="14">
        <f>[1]Лист4!F143</f>
        <v>0.6</v>
      </c>
      <c r="E214" s="15">
        <f t="shared" si="46"/>
        <v>30</v>
      </c>
      <c r="F214" s="15">
        <f t="shared" si="47"/>
        <v>4.956E-2</v>
      </c>
      <c r="G214" s="16">
        <f t="shared" si="43"/>
        <v>1.2</v>
      </c>
      <c r="H214" s="16">
        <f t="shared" si="48"/>
        <v>3.5599999999999996</v>
      </c>
      <c r="I214" s="16">
        <f t="shared" si="49"/>
        <v>4.1099999999999994</v>
      </c>
      <c r="J214" s="16">
        <f t="shared" si="50"/>
        <v>3.53</v>
      </c>
      <c r="K214" s="16">
        <f t="shared" si="51"/>
        <v>5.0444999999999993</v>
      </c>
      <c r="L214" s="17">
        <f>G214*1.55</f>
        <v>1.8599999999999999</v>
      </c>
      <c r="M214" s="16">
        <f t="shared" si="52"/>
        <v>1.64</v>
      </c>
      <c r="N214" s="17">
        <f t="shared" si="53"/>
        <v>5.31</v>
      </c>
      <c r="O214" s="17">
        <f t="shared" si="54"/>
        <v>4.68</v>
      </c>
      <c r="P214" s="18">
        <f t="shared" si="55"/>
        <v>60</v>
      </c>
      <c r="Q214" s="19">
        <f t="shared" si="56"/>
        <v>93</v>
      </c>
      <c r="R214" s="19">
        <f t="shared" si="57"/>
        <v>33</v>
      </c>
      <c r="S214" s="20"/>
      <c r="T214" s="21" t="s">
        <v>214</v>
      </c>
    </row>
    <row r="215" spans="1:20" ht="15.75" x14ac:dyDescent="0.25">
      <c r="A215" s="11">
        <f>[1]Лист4!A136</f>
        <v>8</v>
      </c>
      <c r="B215" s="12" t="str">
        <f>[1]Лист4!C136</f>
        <v>Гортензия белая</v>
      </c>
      <c r="C215" s="13">
        <f>[1]Лист4!D136</f>
        <v>160</v>
      </c>
      <c r="D215" s="14">
        <f>[1]Лист4!F136</f>
        <v>3.49</v>
      </c>
      <c r="E215" s="15">
        <f t="shared" si="46"/>
        <v>558.40000000000009</v>
      </c>
      <c r="F215" s="15">
        <f t="shared" si="47"/>
        <v>0.28827400000000003</v>
      </c>
      <c r="G215" s="16">
        <f t="shared" si="43"/>
        <v>6.2</v>
      </c>
      <c r="H215" s="16">
        <f t="shared" si="48"/>
        <v>18.380000000000003</v>
      </c>
      <c r="I215" s="16">
        <f t="shared" si="49"/>
        <v>21.21</v>
      </c>
      <c r="J215" s="16">
        <f t="shared" si="50"/>
        <v>18.21</v>
      </c>
      <c r="K215" s="16">
        <f t="shared" si="51"/>
        <v>24.367499999999996</v>
      </c>
      <c r="L215" s="17">
        <v>9</v>
      </c>
      <c r="M215" s="16">
        <f t="shared" si="52"/>
        <v>7.92</v>
      </c>
      <c r="N215" s="17">
        <f t="shared" si="53"/>
        <v>25.65</v>
      </c>
      <c r="O215" s="17">
        <f t="shared" si="54"/>
        <v>22.580000000000002</v>
      </c>
      <c r="P215" s="18">
        <f t="shared" si="55"/>
        <v>992</v>
      </c>
      <c r="Q215" s="19">
        <f t="shared" si="56"/>
        <v>1440</v>
      </c>
      <c r="R215" s="19">
        <f t="shared" si="57"/>
        <v>448</v>
      </c>
      <c r="S215" s="20"/>
      <c r="T215" s="21" t="s">
        <v>215</v>
      </c>
    </row>
    <row r="216" spans="1:20" ht="15.75" x14ac:dyDescent="0.25">
      <c r="A216" s="11">
        <f>[1]Лист4!A135</f>
        <v>8</v>
      </c>
      <c r="B216" s="12" t="str">
        <f>[1]Лист4!C135</f>
        <v>Гортензия голубая</v>
      </c>
      <c r="C216" s="13">
        <f>[1]Лист4!D135</f>
        <v>270</v>
      </c>
      <c r="D216" s="14">
        <f>[1]Лист4!F135</f>
        <v>3.23</v>
      </c>
      <c r="E216" s="15">
        <f t="shared" si="46"/>
        <v>872.1</v>
      </c>
      <c r="F216" s="15">
        <f t="shared" si="47"/>
        <v>0.26679800000000004</v>
      </c>
      <c r="G216" s="16">
        <f t="shared" si="43"/>
        <v>5.75</v>
      </c>
      <c r="H216" s="16">
        <f t="shared" si="48"/>
        <v>17.05</v>
      </c>
      <c r="I216" s="16">
        <f t="shared" si="49"/>
        <v>19.670000000000002</v>
      </c>
      <c r="J216" s="16">
        <f t="shared" si="50"/>
        <v>16.880000000000003</v>
      </c>
      <c r="K216" s="16">
        <f t="shared" si="51"/>
        <v>23.0185</v>
      </c>
      <c r="L216" s="17">
        <v>8.5</v>
      </c>
      <c r="M216" s="16">
        <f t="shared" si="52"/>
        <v>7.48</v>
      </c>
      <c r="N216" s="17">
        <f t="shared" si="53"/>
        <v>24.23</v>
      </c>
      <c r="O216" s="17">
        <f t="shared" si="54"/>
        <v>21.330000000000002</v>
      </c>
      <c r="P216" s="18">
        <f t="shared" si="55"/>
        <v>1552.5</v>
      </c>
      <c r="Q216" s="19">
        <f t="shared" si="56"/>
        <v>2295</v>
      </c>
      <c r="R216" s="19">
        <f t="shared" si="57"/>
        <v>742.5</v>
      </c>
      <c r="S216" s="20"/>
      <c r="T216" s="21" t="s">
        <v>216</v>
      </c>
    </row>
    <row r="217" spans="1:20" ht="15.75" x14ac:dyDescent="0.25">
      <c r="A217" s="11">
        <f>[1]Лист4!A138</f>
        <v>8</v>
      </c>
      <c r="B217" s="12" t="str">
        <f>[1]Лист4!C138</f>
        <v>Гортензия красная</v>
      </c>
      <c r="C217" s="13">
        <f>[1]Лист4!D138</f>
        <v>50</v>
      </c>
      <c r="D217" s="14">
        <f>[1]Лист4!F138</f>
        <v>3.12</v>
      </c>
      <c r="E217" s="15">
        <f t="shared" si="46"/>
        <v>156</v>
      </c>
      <c r="F217" s="15">
        <f t="shared" si="47"/>
        <v>0.257712</v>
      </c>
      <c r="G217" s="16">
        <f t="shared" si="43"/>
        <v>5.56</v>
      </c>
      <c r="H217" s="16">
        <f t="shared" si="48"/>
        <v>16.48</v>
      </c>
      <c r="I217" s="16">
        <f t="shared" si="49"/>
        <v>19.020000000000003</v>
      </c>
      <c r="J217" s="16">
        <f t="shared" si="50"/>
        <v>16.330000000000002</v>
      </c>
      <c r="K217" s="16">
        <f t="shared" si="51"/>
        <v>23.0185</v>
      </c>
      <c r="L217" s="17">
        <v>8.5</v>
      </c>
      <c r="M217" s="16">
        <f t="shared" si="52"/>
        <v>7.48</v>
      </c>
      <c r="N217" s="17">
        <f t="shared" si="53"/>
        <v>24.23</v>
      </c>
      <c r="O217" s="17">
        <f t="shared" si="54"/>
        <v>21.330000000000002</v>
      </c>
      <c r="P217" s="18">
        <f t="shared" si="55"/>
        <v>278</v>
      </c>
      <c r="Q217" s="19">
        <f t="shared" si="56"/>
        <v>425</v>
      </c>
      <c r="R217" s="19">
        <f t="shared" si="57"/>
        <v>147</v>
      </c>
      <c r="S217" s="20"/>
      <c r="T217" s="21" t="s">
        <v>217</v>
      </c>
    </row>
    <row r="218" spans="1:20" ht="15.75" x14ac:dyDescent="0.25">
      <c r="A218" s="11">
        <f>[1]Лист4!A142</f>
        <v>8</v>
      </c>
      <c r="B218" s="12" t="str">
        <f>[1]Лист4!C142</f>
        <v>Гортензия малиновая</v>
      </c>
      <c r="C218" s="13">
        <f>[1]Лист4!D142</f>
        <v>20</v>
      </c>
      <c r="D218" s="14">
        <f>[1]Лист4!F142</f>
        <v>1.98</v>
      </c>
      <c r="E218" s="15">
        <f t="shared" si="46"/>
        <v>39.6</v>
      </c>
      <c r="F218" s="15">
        <f t="shared" si="47"/>
        <v>0.163548</v>
      </c>
      <c r="G218" s="16">
        <f t="shared" si="43"/>
        <v>3.59</v>
      </c>
      <c r="H218" s="16">
        <f t="shared" si="48"/>
        <v>10.65</v>
      </c>
      <c r="I218" s="16">
        <f t="shared" si="49"/>
        <v>12.28</v>
      </c>
      <c r="J218" s="16">
        <f t="shared" si="50"/>
        <v>10.54</v>
      </c>
      <c r="K218" s="16">
        <f t="shared" si="51"/>
        <v>14.895999999999999</v>
      </c>
      <c r="L218" s="17">
        <v>5.5</v>
      </c>
      <c r="M218" s="16">
        <f t="shared" si="52"/>
        <v>4.84</v>
      </c>
      <c r="N218" s="17">
        <f t="shared" si="53"/>
        <v>15.68</v>
      </c>
      <c r="O218" s="17">
        <f t="shared" si="54"/>
        <v>13.799999999999999</v>
      </c>
      <c r="P218" s="18">
        <f t="shared" si="55"/>
        <v>71.8</v>
      </c>
      <c r="Q218" s="19">
        <f t="shared" si="56"/>
        <v>110</v>
      </c>
      <c r="R218" s="19">
        <f t="shared" si="57"/>
        <v>38.200000000000003</v>
      </c>
      <c r="S218" s="20"/>
      <c r="T218" s="21" t="s">
        <v>218</v>
      </c>
    </row>
    <row r="219" spans="1:20" ht="15.75" x14ac:dyDescent="0.25">
      <c r="A219" s="11">
        <f>[1]Лист4!A139</f>
        <v>8</v>
      </c>
      <c r="B219" s="12" t="str">
        <f>[1]Лист4!C139</f>
        <v>Гортензия Минерва</v>
      </c>
      <c r="C219" s="13">
        <f>[1]Лист4!D139</f>
        <v>50</v>
      </c>
      <c r="D219" s="14">
        <f>[1]Лист4!F139</f>
        <v>2.92</v>
      </c>
      <c r="E219" s="15">
        <f t="shared" si="46"/>
        <v>146</v>
      </c>
      <c r="F219" s="15">
        <f t="shared" si="47"/>
        <v>0.24119200000000002</v>
      </c>
      <c r="G219" s="16">
        <f t="shared" si="43"/>
        <v>5.21</v>
      </c>
      <c r="H219" s="16">
        <f t="shared" si="48"/>
        <v>15.45</v>
      </c>
      <c r="I219" s="16">
        <f t="shared" si="49"/>
        <v>17.82</v>
      </c>
      <c r="J219" s="16">
        <f t="shared" si="50"/>
        <v>15.299999999999999</v>
      </c>
      <c r="K219" s="16">
        <f t="shared" si="51"/>
        <v>21.66</v>
      </c>
      <c r="L219" s="17">
        <v>8</v>
      </c>
      <c r="M219" s="16">
        <f t="shared" si="52"/>
        <v>7.04</v>
      </c>
      <c r="N219" s="17">
        <f t="shared" si="53"/>
        <v>22.8</v>
      </c>
      <c r="O219" s="17">
        <f t="shared" si="54"/>
        <v>20.07</v>
      </c>
      <c r="P219" s="18">
        <f t="shared" si="55"/>
        <v>260.5</v>
      </c>
      <c r="Q219" s="19">
        <f t="shared" si="56"/>
        <v>400</v>
      </c>
      <c r="R219" s="19">
        <f t="shared" si="57"/>
        <v>139.5</v>
      </c>
      <c r="S219" s="20"/>
      <c r="T219" s="21" t="s">
        <v>219</v>
      </c>
    </row>
    <row r="220" spans="1:20" ht="15.75" x14ac:dyDescent="0.25">
      <c r="A220" s="11">
        <f>[1]Лист4!A141</f>
        <v>8</v>
      </c>
      <c r="B220" s="12" t="str">
        <f>[1]Лист4!C141</f>
        <v>Гортензия розовая</v>
      </c>
      <c r="C220" s="13">
        <f>[1]Лист4!D141</f>
        <v>200</v>
      </c>
      <c r="D220" s="14">
        <f>[1]Лист4!F141</f>
        <v>3.34</v>
      </c>
      <c r="E220" s="15">
        <f t="shared" si="46"/>
        <v>668</v>
      </c>
      <c r="F220" s="15">
        <f t="shared" si="47"/>
        <v>0.27588400000000002</v>
      </c>
      <c r="G220" s="16">
        <f t="shared" si="43"/>
        <v>5.94</v>
      </c>
      <c r="H220" s="16">
        <f t="shared" si="48"/>
        <v>17.610000000000003</v>
      </c>
      <c r="I220" s="16">
        <f t="shared" si="49"/>
        <v>20.32</v>
      </c>
      <c r="J220" s="16">
        <f t="shared" si="50"/>
        <v>17.440000000000001</v>
      </c>
      <c r="K220" s="16">
        <f t="shared" si="51"/>
        <v>24.367499999999996</v>
      </c>
      <c r="L220" s="17">
        <v>9</v>
      </c>
      <c r="M220" s="16">
        <f t="shared" si="52"/>
        <v>7.92</v>
      </c>
      <c r="N220" s="17">
        <f t="shared" si="53"/>
        <v>25.65</v>
      </c>
      <c r="O220" s="17">
        <f t="shared" si="54"/>
        <v>22.580000000000002</v>
      </c>
      <c r="P220" s="18">
        <f t="shared" si="55"/>
        <v>1188</v>
      </c>
      <c r="Q220" s="19">
        <f t="shared" si="56"/>
        <v>1800</v>
      </c>
      <c r="R220" s="19">
        <f t="shared" si="57"/>
        <v>612</v>
      </c>
      <c r="S220" s="20"/>
      <c r="T220" s="21" t="s">
        <v>220</v>
      </c>
    </row>
    <row r="221" spans="1:20" ht="15.75" x14ac:dyDescent="0.25">
      <c r="A221" s="11">
        <f>[1]Лист4!A140</f>
        <v>8</v>
      </c>
      <c r="B221" s="12" t="str">
        <f>[1]Лист4!C140</f>
        <v>Гортензия розовая классик</v>
      </c>
      <c r="C221" s="13">
        <f>[1]Лист4!D140</f>
        <v>30</v>
      </c>
      <c r="D221" s="14">
        <f>[1]Лист4!F140</f>
        <v>3.14</v>
      </c>
      <c r="E221" s="15">
        <f t="shared" si="46"/>
        <v>94.2</v>
      </c>
      <c r="F221" s="15">
        <f t="shared" si="47"/>
        <v>0.25936400000000004</v>
      </c>
      <c r="G221" s="16">
        <f t="shared" si="43"/>
        <v>5.59</v>
      </c>
      <c r="H221" s="16">
        <f t="shared" si="48"/>
        <v>16.57</v>
      </c>
      <c r="I221" s="16">
        <f t="shared" si="49"/>
        <v>19.12</v>
      </c>
      <c r="J221" s="16">
        <f t="shared" si="50"/>
        <v>16.41</v>
      </c>
      <c r="K221" s="16">
        <f t="shared" si="51"/>
        <v>23.0185</v>
      </c>
      <c r="L221" s="17">
        <v>8.5</v>
      </c>
      <c r="M221" s="16">
        <f t="shared" si="52"/>
        <v>7.48</v>
      </c>
      <c r="N221" s="17">
        <f t="shared" si="53"/>
        <v>24.23</v>
      </c>
      <c r="O221" s="17">
        <f t="shared" si="54"/>
        <v>21.330000000000002</v>
      </c>
      <c r="P221" s="18">
        <f t="shared" si="55"/>
        <v>167.7</v>
      </c>
      <c r="Q221" s="19">
        <f t="shared" si="56"/>
        <v>255</v>
      </c>
      <c r="R221" s="19">
        <f t="shared" si="57"/>
        <v>87.300000000000011</v>
      </c>
      <c r="S221" s="20"/>
      <c r="T221" s="21" t="s">
        <v>221</v>
      </c>
    </row>
    <row r="222" spans="1:20" ht="15.75" x14ac:dyDescent="0.25">
      <c r="A222" s="11">
        <f>[1]Лист4!A98</f>
        <v>8</v>
      </c>
      <c r="B222" s="12" t="str">
        <f>[1]Лист4!C98</f>
        <v>Дельфиниум белый</v>
      </c>
      <c r="C222" s="13">
        <f>[1]Лист4!D98</f>
        <v>30</v>
      </c>
      <c r="D222" s="14">
        <f>[1]Лист4!F98</f>
        <v>1.95</v>
      </c>
      <c r="E222" s="15">
        <f t="shared" si="46"/>
        <v>58.5</v>
      </c>
      <c r="F222" s="15">
        <f t="shared" si="47"/>
        <v>0.16106999999999999</v>
      </c>
      <c r="G222" s="16">
        <f t="shared" si="43"/>
        <v>3.54</v>
      </c>
      <c r="H222" s="16">
        <f t="shared" si="48"/>
        <v>10.5</v>
      </c>
      <c r="I222" s="16">
        <f t="shared" si="49"/>
        <v>12.11</v>
      </c>
      <c r="J222" s="16">
        <f t="shared" si="50"/>
        <v>10.4</v>
      </c>
      <c r="K222" s="16">
        <f t="shared" si="51"/>
        <v>14.858000000000001</v>
      </c>
      <c r="L222" s="17">
        <f>G222*1.55</f>
        <v>5.4870000000000001</v>
      </c>
      <c r="M222" s="16">
        <f t="shared" si="52"/>
        <v>4.83</v>
      </c>
      <c r="N222" s="17">
        <f t="shared" si="53"/>
        <v>15.64</v>
      </c>
      <c r="O222" s="17">
        <f t="shared" si="54"/>
        <v>13.77</v>
      </c>
      <c r="P222" s="18">
        <f t="shared" si="55"/>
        <v>106.2</v>
      </c>
      <c r="Q222" s="19">
        <f t="shared" si="56"/>
        <v>164.61</v>
      </c>
      <c r="R222" s="19">
        <f t="shared" si="57"/>
        <v>58.410000000000011</v>
      </c>
      <c r="S222" s="20"/>
      <c r="T222" s="21" t="s">
        <v>222</v>
      </c>
    </row>
    <row r="223" spans="1:20" ht="15.75" x14ac:dyDescent="0.25">
      <c r="A223" s="11">
        <f>[1]Лист4!A96</f>
        <v>8</v>
      </c>
      <c r="B223" s="12" t="str">
        <f>[1]Лист4!C96</f>
        <v>Дельфиниум лавандовый</v>
      </c>
      <c r="C223" s="13">
        <f>[1]Лист4!D96</f>
        <v>90</v>
      </c>
      <c r="D223" s="14">
        <f>[1]Лист4!F96</f>
        <v>1.47</v>
      </c>
      <c r="E223" s="15">
        <f t="shared" si="46"/>
        <v>132.30000000000001</v>
      </c>
      <c r="F223" s="15">
        <f t="shared" si="47"/>
        <v>0.121422</v>
      </c>
      <c r="G223" s="16">
        <f t="shared" si="43"/>
        <v>2.71</v>
      </c>
      <c r="H223" s="16">
        <f t="shared" si="48"/>
        <v>8.0399999999999991</v>
      </c>
      <c r="I223" s="16">
        <f t="shared" si="49"/>
        <v>9.27</v>
      </c>
      <c r="J223" s="16">
        <f t="shared" si="50"/>
        <v>7.96</v>
      </c>
      <c r="K223" s="16">
        <f t="shared" si="51"/>
        <v>11.381</v>
      </c>
      <c r="L223" s="17">
        <f>G223*1.55</f>
        <v>4.2004999999999999</v>
      </c>
      <c r="M223" s="16">
        <f t="shared" si="52"/>
        <v>3.6999999999999997</v>
      </c>
      <c r="N223" s="17">
        <f t="shared" si="53"/>
        <v>11.98</v>
      </c>
      <c r="O223" s="17">
        <f t="shared" si="54"/>
        <v>10.549999999999999</v>
      </c>
      <c r="P223" s="18">
        <f t="shared" si="55"/>
        <v>243.9</v>
      </c>
      <c r="Q223" s="19">
        <f t="shared" si="56"/>
        <v>378.04500000000002</v>
      </c>
      <c r="R223" s="19">
        <f t="shared" si="57"/>
        <v>134.14500000000001</v>
      </c>
      <c r="S223" s="20"/>
      <c r="T223" s="21" t="s">
        <v>223</v>
      </c>
    </row>
    <row r="224" spans="1:20" ht="15.75" x14ac:dyDescent="0.25">
      <c r="A224" s="11">
        <f>[1]Лист4!A97</f>
        <v>8</v>
      </c>
      <c r="B224" s="12" t="str">
        <f>[1]Лист4!C97</f>
        <v>Дельфиниум синий</v>
      </c>
      <c r="C224" s="13">
        <f>[1]Лист4!D97</f>
        <v>80</v>
      </c>
      <c r="D224" s="14">
        <f>[1]Лист4!F97</f>
        <v>1.8</v>
      </c>
      <c r="E224" s="15">
        <f t="shared" si="46"/>
        <v>144</v>
      </c>
      <c r="F224" s="15">
        <f t="shared" si="47"/>
        <v>0.14868000000000003</v>
      </c>
      <c r="G224" s="16">
        <f t="shared" si="43"/>
        <v>3.28</v>
      </c>
      <c r="H224" s="16">
        <f t="shared" si="48"/>
        <v>9.73</v>
      </c>
      <c r="I224" s="16">
        <f t="shared" si="49"/>
        <v>11.22</v>
      </c>
      <c r="J224" s="16">
        <f t="shared" si="50"/>
        <v>9.629999999999999</v>
      </c>
      <c r="K224" s="16">
        <f t="shared" si="51"/>
        <v>13.765499999999999</v>
      </c>
      <c r="L224" s="17">
        <f>G224*1.55</f>
        <v>5.0839999999999996</v>
      </c>
      <c r="M224" s="16">
        <f t="shared" si="52"/>
        <v>4.4799999999999995</v>
      </c>
      <c r="N224" s="17">
        <f t="shared" si="53"/>
        <v>14.49</v>
      </c>
      <c r="O224" s="17">
        <f t="shared" si="54"/>
        <v>12.76</v>
      </c>
      <c r="P224" s="18">
        <f t="shared" si="55"/>
        <v>262.39999999999998</v>
      </c>
      <c r="Q224" s="19">
        <f t="shared" si="56"/>
        <v>406.71999999999997</v>
      </c>
      <c r="R224" s="19">
        <f t="shared" si="57"/>
        <v>144.32</v>
      </c>
      <c r="S224" s="20"/>
      <c r="T224" s="21" t="s">
        <v>224</v>
      </c>
    </row>
    <row r="225" spans="1:20" ht="15.75" x14ac:dyDescent="0.25">
      <c r="A225" s="11">
        <f>[1]Лист4!A99</f>
        <v>8</v>
      </c>
      <c r="B225" s="12" t="str">
        <f>[1]Лист4!C99</f>
        <v>Дельфиниум фиолетовый</v>
      </c>
      <c r="C225" s="13">
        <f>[1]Лист4!D99</f>
        <v>30</v>
      </c>
      <c r="D225" s="14">
        <f>[1]Лист4!F99</f>
        <v>1.9</v>
      </c>
      <c r="E225" s="15">
        <f t="shared" si="46"/>
        <v>57</v>
      </c>
      <c r="F225" s="15">
        <f t="shared" si="47"/>
        <v>0.15694000000000002</v>
      </c>
      <c r="G225" s="16">
        <f t="shared" si="43"/>
        <v>3.45</v>
      </c>
      <c r="H225" s="16">
        <f t="shared" si="48"/>
        <v>10.23</v>
      </c>
      <c r="I225" s="16">
        <f t="shared" si="49"/>
        <v>11.799999999999999</v>
      </c>
      <c r="J225" s="16">
        <f t="shared" si="50"/>
        <v>10.129999999999999</v>
      </c>
      <c r="K225" s="16">
        <f t="shared" si="51"/>
        <v>14.487499999999999</v>
      </c>
      <c r="L225" s="17">
        <f>G225*1.55</f>
        <v>5.3475000000000001</v>
      </c>
      <c r="M225" s="16">
        <f t="shared" si="52"/>
        <v>4.71</v>
      </c>
      <c r="N225" s="17">
        <f t="shared" si="53"/>
        <v>15.25</v>
      </c>
      <c r="O225" s="17">
        <f t="shared" si="54"/>
        <v>13.42</v>
      </c>
      <c r="P225" s="18">
        <f t="shared" si="55"/>
        <v>103.5</v>
      </c>
      <c r="Q225" s="19">
        <f t="shared" si="56"/>
        <v>160.42500000000001</v>
      </c>
      <c r="R225" s="19">
        <f t="shared" si="57"/>
        <v>56.925000000000011</v>
      </c>
      <c r="S225" s="20"/>
      <c r="T225" s="21" t="s">
        <v>225</v>
      </c>
    </row>
    <row r="226" spans="1:20" ht="15.75" x14ac:dyDescent="0.25">
      <c r="A226" s="11">
        <f>[1]Лист4!A145</f>
        <v>8</v>
      </c>
      <c r="B226" s="12" t="str">
        <f>[1]Лист4!C145</f>
        <v>Ирис белый</v>
      </c>
      <c r="C226" s="13">
        <f>[1]Лист4!D145</f>
        <v>200</v>
      </c>
      <c r="D226" s="14">
        <f>[1]Лист4!F145</f>
        <v>0.21</v>
      </c>
      <c r="E226" s="15">
        <f t="shared" si="46"/>
        <v>42</v>
      </c>
      <c r="F226" s="15">
        <f t="shared" si="47"/>
        <v>1.7346E-2</v>
      </c>
      <c r="G226" s="16">
        <f t="shared" si="43"/>
        <v>0.53</v>
      </c>
      <c r="H226" s="16">
        <f t="shared" si="48"/>
        <v>1.58</v>
      </c>
      <c r="I226" s="16">
        <f t="shared" si="49"/>
        <v>1.82</v>
      </c>
      <c r="J226" s="16">
        <f t="shared" si="50"/>
        <v>1.56</v>
      </c>
      <c r="K226" s="16">
        <f t="shared" si="51"/>
        <v>2.2324999999999995</v>
      </c>
      <c r="L226" s="17">
        <f>G226*1.55</f>
        <v>0.82150000000000012</v>
      </c>
      <c r="M226" s="16">
        <f t="shared" si="52"/>
        <v>0.73</v>
      </c>
      <c r="N226" s="17">
        <f t="shared" si="53"/>
        <v>2.3499999999999996</v>
      </c>
      <c r="O226" s="17">
        <f t="shared" si="54"/>
        <v>2.0699999999999998</v>
      </c>
      <c r="P226" s="18">
        <f t="shared" si="55"/>
        <v>106</v>
      </c>
      <c r="Q226" s="19">
        <f t="shared" si="56"/>
        <v>164.3</v>
      </c>
      <c r="R226" s="19">
        <f t="shared" si="57"/>
        <v>58.300000000000011</v>
      </c>
      <c r="S226" s="20"/>
      <c r="T226" s="21" t="s">
        <v>226</v>
      </c>
    </row>
    <row r="227" spans="1:20" ht="15.75" x14ac:dyDescent="0.25">
      <c r="A227" s="11">
        <f>[1]Лист4!A144</f>
        <v>8</v>
      </c>
      <c r="B227" s="12" t="str">
        <f>[1]Лист4!C144</f>
        <v>Ирис Синий</v>
      </c>
      <c r="C227" s="13">
        <f>[1]Лист4!D144</f>
        <v>100</v>
      </c>
      <c r="D227" s="14">
        <f>[1]Лист4!F144</f>
        <v>0.13</v>
      </c>
      <c r="E227" s="15">
        <f t="shared" si="46"/>
        <v>13</v>
      </c>
      <c r="F227" s="15">
        <f t="shared" si="47"/>
        <v>1.0738000000000001E-2</v>
      </c>
      <c r="G227" s="16">
        <f t="shared" si="43"/>
        <v>0.39</v>
      </c>
      <c r="H227" s="16">
        <f t="shared" si="48"/>
        <v>1.1599999999999999</v>
      </c>
      <c r="I227" s="16">
        <f t="shared" si="49"/>
        <v>1.34</v>
      </c>
      <c r="J227" s="16">
        <f t="shared" si="50"/>
        <v>1.1499999999999999</v>
      </c>
      <c r="K227" s="16">
        <f t="shared" si="51"/>
        <v>1.7669999999999999</v>
      </c>
      <c r="L227" s="17">
        <v>0.65</v>
      </c>
      <c r="M227" s="16">
        <f t="shared" si="52"/>
        <v>0.57999999999999996</v>
      </c>
      <c r="N227" s="17">
        <f t="shared" si="53"/>
        <v>1.86</v>
      </c>
      <c r="O227" s="17">
        <f t="shared" si="54"/>
        <v>1.64</v>
      </c>
      <c r="P227" s="18">
        <f t="shared" si="55"/>
        <v>39</v>
      </c>
      <c r="Q227" s="19">
        <f t="shared" si="56"/>
        <v>65</v>
      </c>
      <c r="R227" s="19">
        <f t="shared" si="57"/>
        <v>26</v>
      </c>
      <c r="S227" s="20"/>
      <c r="T227" s="21" t="s">
        <v>227</v>
      </c>
    </row>
    <row r="228" spans="1:20" ht="15.75" x14ac:dyDescent="0.25">
      <c r="A228" s="11">
        <f>[1]Лист4!A194</f>
        <v>8</v>
      </c>
      <c r="B228" s="12" t="str">
        <f>[1]Лист4!C194</f>
        <v>Калла белая</v>
      </c>
      <c r="C228" s="13">
        <f>[1]Лист4!D194</f>
        <v>120</v>
      </c>
      <c r="D228" s="14">
        <f>[1]Лист4!F194</f>
        <v>1.51</v>
      </c>
      <c r="E228" s="15">
        <f t="shared" si="46"/>
        <v>181.2</v>
      </c>
      <c r="F228" s="15">
        <f t="shared" si="47"/>
        <v>0.124726</v>
      </c>
      <c r="G228" s="16">
        <f t="shared" si="43"/>
        <v>2.78</v>
      </c>
      <c r="H228" s="16">
        <f t="shared" si="48"/>
        <v>8.24</v>
      </c>
      <c r="I228" s="16">
        <f t="shared" si="49"/>
        <v>9.51</v>
      </c>
      <c r="J228" s="16">
        <f t="shared" si="50"/>
        <v>8.17</v>
      </c>
      <c r="K228" s="16">
        <f t="shared" si="51"/>
        <v>11.675499999999998</v>
      </c>
      <c r="L228" s="17">
        <f t="shared" ref="L228:L242" si="58">G228*1.55</f>
        <v>4.3090000000000002</v>
      </c>
      <c r="M228" s="16">
        <f t="shared" si="52"/>
        <v>3.8</v>
      </c>
      <c r="N228" s="17">
        <f t="shared" si="53"/>
        <v>12.29</v>
      </c>
      <c r="O228" s="17">
        <f t="shared" si="54"/>
        <v>10.82</v>
      </c>
      <c r="P228" s="18">
        <f t="shared" si="55"/>
        <v>333.59999999999997</v>
      </c>
      <c r="Q228" s="19">
        <f t="shared" si="56"/>
        <v>517.08000000000004</v>
      </c>
      <c r="R228" s="19">
        <f t="shared" si="57"/>
        <v>183.48000000000008</v>
      </c>
      <c r="S228" s="20"/>
      <c r="T228" s="21" t="s">
        <v>228</v>
      </c>
    </row>
    <row r="229" spans="1:20" ht="15.75" x14ac:dyDescent="0.25">
      <c r="A229" s="11">
        <f>[1]Лист4!A197</f>
        <v>8</v>
      </c>
      <c r="B229" s="12" t="str">
        <f>[1]Лист4!C197</f>
        <v>Калла бордовая</v>
      </c>
      <c r="C229" s="13">
        <f>[1]Лист4!D197</f>
        <v>40</v>
      </c>
      <c r="D229" s="14">
        <f>[1]Лист4!F197</f>
        <v>1.1399999999999999</v>
      </c>
      <c r="E229" s="15">
        <f t="shared" si="46"/>
        <v>45.599999999999994</v>
      </c>
      <c r="F229" s="15">
        <f t="shared" si="47"/>
        <v>9.4163999999999984E-2</v>
      </c>
      <c r="G229" s="16">
        <f t="shared" si="43"/>
        <v>2.14</v>
      </c>
      <c r="H229" s="16">
        <f t="shared" si="48"/>
        <v>6.35</v>
      </c>
      <c r="I229" s="16">
        <f t="shared" si="49"/>
        <v>7.3199999999999994</v>
      </c>
      <c r="J229" s="16">
        <f t="shared" si="50"/>
        <v>6.29</v>
      </c>
      <c r="K229" s="16">
        <f t="shared" si="51"/>
        <v>8.9869999999999983</v>
      </c>
      <c r="L229" s="17">
        <f t="shared" si="58"/>
        <v>3.3170000000000002</v>
      </c>
      <c r="M229" s="16">
        <f t="shared" si="52"/>
        <v>2.92</v>
      </c>
      <c r="N229" s="17">
        <f t="shared" si="53"/>
        <v>9.4599999999999991</v>
      </c>
      <c r="O229" s="17">
        <f t="shared" si="54"/>
        <v>8.33</v>
      </c>
      <c r="P229" s="18">
        <f t="shared" si="55"/>
        <v>85.600000000000009</v>
      </c>
      <c r="Q229" s="19">
        <f t="shared" si="56"/>
        <v>132.68</v>
      </c>
      <c r="R229" s="19">
        <f t="shared" si="57"/>
        <v>47.08</v>
      </c>
      <c r="S229" s="20"/>
      <c r="T229" s="21" t="s">
        <v>229</v>
      </c>
    </row>
    <row r="230" spans="1:20" ht="15.75" x14ac:dyDescent="0.25">
      <c r="A230" s="11">
        <f>[1]Лист4!A199</f>
        <v>8</v>
      </c>
      <c r="B230" s="12" t="str">
        <f>[1]Лист4!C199</f>
        <v>Калла Кептен Вентура белая</v>
      </c>
      <c r="C230" s="13">
        <f>[1]Лист4!D199</f>
        <v>40</v>
      </c>
      <c r="D230" s="14">
        <f>[1]Лист4!F199</f>
        <v>1.91</v>
      </c>
      <c r="E230" s="15">
        <f t="shared" si="46"/>
        <v>76.399999999999991</v>
      </c>
      <c r="F230" s="15">
        <f t="shared" si="47"/>
        <v>0.15776599999999999</v>
      </c>
      <c r="G230" s="16">
        <f t="shared" si="43"/>
        <v>3.47</v>
      </c>
      <c r="H230" s="16">
        <f t="shared" si="48"/>
        <v>10.29</v>
      </c>
      <c r="I230" s="16">
        <f t="shared" si="49"/>
        <v>11.87</v>
      </c>
      <c r="J230" s="16">
        <f t="shared" si="50"/>
        <v>10.19</v>
      </c>
      <c r="K230" s="16">
        <f t="shared" si="51"/>
        <v>14.563499999999999</v>
      </c>
      <c r="L230" s="17">
        <f t="shared" si="58"/>
        <v>5.3785000000000007</v>
      </c>
      <c r="M230" s="16">
        <f t="shared" si="52"/>
        <v>4.74</v>
      </c>
      <c r="N230" s="17">
        <f t="shared" si="53"/>
        <v>15.33</v>
      </c>
      <c r="O230" s="17">
        <f t="shared" si="54"/>
        <v>13.5</v>
      </c>
      <c r="P230" s="18">
        <f t="shared" si="55"/>
        <v>138.80000000000001</v>
      </c>
      <c r="Q230" s="19">
        <f t="shared" si="56"/>
        <v>215.14000000000004</v>
      </c>
      <c r="R230" s="19">
        <f t="shared" si="57"/>
        <v>76.340000000000032</v>
      </c>
      <c r="S230" s="20"/>
      <c r="T230" s="21" t="s">
        <v>230</v>
      </c>
    </row>
    <row r="231" spans="1:20" ht="15.75" x14ac:dyDescent="0.25">
      <c r="A231" s="11">
        <f>[1]Лист4!A195</f>
        <v>8</v>
      </c>
      <c r="B231" s="12" t="str">
        <f>[1]Лист4!C195</f>
        <v>Калла розовая</v>
      </c>
      <c r="C231" s="13">
        <f>[1]Лист4!D195</f>
        <v>120</v>
      </c>
      <c r="D231" s="14">
        <f>[1]Лист4!F195</f>
        <v>0.96</v>
      </c>
      <c r="E231" s="15">
        <f t="shared" si="46"/>
        <v>115.19999999999999</v>
      </c>
      <c r="F231" s="15">
        <f t="shared" si="47"/>
        <v>7.9295999999999991E-2</v>
      </c>
      <c r="G231" s="16">
        <f t="shared" si="43"/>
        <v>1.83</v>
      </c>
      <c r="H231" s="16">
        <f t="shared" si="48"/>
        <v>5.43</v>
      </c>
      <c r="I231" s="16">
        <f t="shared" si="49"/>
        <v>6.26</v>
      </c>
      <c r="J231" s="16">
        <f t="shared" si="50"/>
        <v>5.38</v>
      </c>
      <c r="K231" s="16">
        <f t="shared" si="51"/>
        <v>7.6854999999999993</v>
      </c>
      <c r="L231" s="17">
        <f t="shared" si="58"/>
        <v>2.8365</v>
      </c>
      <c r="M231" s="16">
        <f t="shared" si="52"/>
        <v>2.5</v>
      </c>
      <c r="N231" s="17">
        <f t="shared" si="53"/>
        <v>8.09</v>
      </c>
      <c r="O231" s="17">
        <f t="shared" si="54"/>
        <v>7.12</v>
      </c>
      <c r="P231" s="18">
        <f t="shared" si="55"/>
        <v>219.60000000000002</v>
      </c>
      <c r="Q231" s="19">
        <f t="shared" si="56"/>
        <v>340.38</v>
      </c>
      <c r="R231" s="19">
        <f t="shared" si="57"/>
        <v>120.77999999999997</v>
      </c>
      <c r="S231" s="20"/>
      <c r="T231" s="21" t="s">
        <v>231</v>
      </c>
    </row>
    <row r="232" spans="1:20" ht="15.75" x14ac:dyDescent="0.25">
      <c r="A232" s="11">
        <f>[1]Лист4!A196</f>
        <v>8</v>
      </c>
      <c r="B232" s="12" t="str">
        <f>[1]Лист4!C196</f>
        <v>Калла черная</v>
      </c>
      <c r="C232" s="13">
        <f>[1]Лист4!D196</f>
        <v>40</v>
      </c>
      <c r="D232" s="14">
        <f>[1]Лист4!F196</f>
        <v>1.05</v>
      </c>
      <c r="E232" s="15">
        <f t="shared" si="46"/>
        <v>42</v>
      </c>
      <c r="F232" s="15">
        <f t="shared" si="47"/>
        <v>8.6730000000000002E-2</v>
      </c>
      <c r="G232" s="16">
        <f t="shared" si="43"/>
        <v>1.98</v>
      </c>
      <c r="H232" s="16">
        <f t="shared" si="48"/>
        <v>5.87</v>
      </c>
      <c r="I232" s="16">
        <f t="shared" si="49"/>
        <v>6.7799999999999994</v>
      </c>
      <c r="J232" s="16">
        <f t="shared" si="50"/>
        <v>5.8199999999999994</v>
      </c>
      <c r="K232" s="16">
        <f t="shared" si="51"/>
        <v>8.3125</v>
      </c>
      <c r="L232" s="17">
        <f t="shared" si="58"/>
        <v>3.069</v>
      </c>
      <c r="M232" s="16">
        <f t="shared" si="52"/>
        <v>2.71</v>
      </c>
      <c r="N232" s="17">
        <f t="shared" si="53"/>
        <v>8.75</v>
      </c>
      <c r="O232" s="17">
        <f t="shared" si="54"/>
        <v>7.7</v>
      </c>
      <c r="P232" s="18">
        <f t="shared" si="55"/>
        <v>79.2</v>
      </c>
      <c r="Q232" s="19">
        <f t="shared" si="56"/>
        <v>122.75999999999999</v>
      </c>
      <c r="R232" s="19">
        <f t="shared" si="57"/>
        <v>43.559999999999988</v>
      </c>
      <c r="S232" s="20"/>
      <c r="T232" s="21" t="s">
        <v>232</v>
      </c>
    </row>
    <row r="233" spans="1:20" ht="15.75" x14ac:dyDescent="0.25">
      <c r="A233" s="11">
        <f>[1]Лист4!A88</f>
        <v>8</v>
      </c>
      <c r="B233" s="12" t="str">
        <f>[1]Лист4!C88</f>
        <v>Кампанула белая</v>
      </c>
      <c r="C233" s="13">
        <f>[1]Лист4!D88</f>
        <v>60</v>
      </c>
      <c r="D233" s="14">
        <f>[1]Лист4!F88</f>
        <v>0.55000000000000004</v>
      </c>
      <c r="E233" s="15">
        <f t="shared" si="46"/>
        <v>33</v>
      </c>
      <c r="F233" s="15">
        <f t="shared" si="47"/>
        <v>4.5430000000000005E-2</v>
      </c>
      <c r="G233" s="16">
        <f t="shared" si="43"/>
        <v>1.1200000000000001</v>
      </c>
      <c r="H233" s="16">
        <f t="shared" si="48"/>
        <v>3.32</v>
      </c>
      <c r="I233" s="16">
        <f t="shared" si="49"/>
        <v>3.84</v>
      </c>
      <c r="J233" s="16">
        <f t="shared" si="50"/>
        <v>3.2899999999999996</v>
      </c>
      <c r="K233" s="16">
        <f t="shared" si="51"/>
        <v>4.7024999999999997</v>
      </c>
      <c r="L233" s="17">
        <f t="shared" si="58"/>
        <v>1.7360000000000002</v>
      </c>
      <c r="M233" s="16">
        <f t="shared" si="52"/>
        <v>1.53</v>
      </c>
      <c r="N233" s="17">
        <f t="shared" si="53"/>
        <v>4.95</v>
      </c>
      <c r="O233" s="17">
        <f t="shared" si="54"/>
        <v>4.3599999999999994</v>
      </c>
      <c r="P233" s="18">
        <f t="shared" si="55"/>
        <v>67.2</v>
      </c>
      <c r="Q233" s="19">
        <f t="shared" si="56"/>
        <v>104.16000000000001</v>
      </c>
      <c r="R233" s="19">
        <f t="shared" si="57"/>
        <v>36.960000000000008</v>
      </c>
      <c r="S233" s="20"/>
      <c r="T233" s="21" t="s">
        <v>233</v>
      </c>
    </row>
    <row r="234" spans="1:20" ht="15.75" x14ac:dyDescent="0.25">
      <c r="A234" s="11">
        <f>[1]Лист4!A89</f>
        <v>8</v>
      </c>
      <c r="B234" s="12" t="str">
        <f>[1]Лист4!C89</f>
        <v>Кампанула Зелено-белая</v>
      </c>
      <c r="C234" s="13">
        <f>[1]Лист4!D89</f>
        <v>30</v>
      </c>
      <c r="D234" s="14">
        <f>[1]Лист4!F89</f>
        <v>1.74</v>
      </c>
      <c r="E234" s="15">
        <f t="shared" si="46"/>
        <v>52.2</v>
      </c>
      <c r="F234" s="15">
        <f t="shared" si="47"/>
        <v>0.14372400000000002</v>
      </c>
      <c r="G234" s="16">
        <f t="shared" si="43"/>
        <v>3.17</v>
      </c>
      <c r="H234" s="16">
        <f t="shared" si="48"/>
        <v>9.4</v>
      </c>
      <c r="I234" s="16">
        <f t="shared" si="49"/>
        <v>10.85</v>
      </c>
      <c r="J234" s="16">
        <f t="shared" si="50"/>
        <v>9.31</v>
      </c>
      <c r="K234" s="16">
        <f t="shared" si="51"/>
        <v>13.3095</v>
      </c>
      <c r="L234" s="17">
        <f t="shared" si="58"/>
        <v>4.9135</v>
      </c>
      <c r="M234" s="16">
        <f t="shared" si="52"/>
        <v>4.33</v>
      </c>
      <c r="N234" s="17">
        <f t="shared" si="53"/>
        <v>14.01</v>
      </c>
      <c r="O234" s="17">
        <f t="shared" si="54"/>
        <v>12.33</v>
      </c>
      <c r="P234" s="18">
        <f t="shared" si="55"/>
        <v>95.1</v>
      </c>
      <c r="Q234" s="19">
        <f t="shared" si="56"/>
        <v>147.405</v>
      </c>
      <c r="R234" s="19">
        <f t="shared" si="57"/>
        <v>52.305000000000007</v>
      </c>
      <c r="S234" s="20"/>
      <c r="T234" s="21" t="s">
        <v>234</v>
      </c>
    </row>
    <row r="235" spans="1:20" ht="15.75" x14ac:dyDescent="0.25">
      <c r="A235" s="11">
        <f>[1]Лист4!A87</f>
        <v>8</v>
      </c>
      <c r="B235" s="12" t="str">
        <f>[1]Лист4!C87</f>
        <v>Кампанула лавандовая</v>
      </c>
      <c r="C235" s="13">
        <f>[1]Лист4!D87</f>
        <v>60</v>
      </c>
      <c r="D235" s="14">
        <f>[1]Лист4!F87</f>
        <v>0.55000000000000004</v>
      </c>
      <c r="E235" s="15">
        <f t="shared" si="46"/>
        <v>33</v>
      </c>
      <c r="F235" s="15">
        <f t="shared" si="47"/>
        <v>4.5430000000000005E-2</v>
      </c>
      <c r="G235" s="16">
        <f t="shared" si="43"/>
        <v>1.1200000000000001</v>
      </c>
      <c r="H235" s="16">
        <f t="shared" si="48"/>
        <v>3.32</v>
      </c>
      <c r="I235" s="16">
        <f t="shared" si="49"/>
        <v>3.84</v>
      </c>
      <c r="J235" s="16">
        <f t="shared" si="50"/>
        <v>3.2899999999999996</v>
      </c>
      <c r="K235" s="16">
        <f t="shared" si="51"/>
        <v>4.7024999999999997</v>
      </c>
      <c r="L235" s="17">
        <f t="shared" si="58"/>
        <v>1.7360000000000002</v>
      </c>
      <c r="M235" s="16">
        <f t="shared" si="52"/>
        <v>1.53</v>
      </c>
      <c r="N235" s="17">
        <f t="shared" si="53"/>
        <v>4.95</v>
      </c>
      <c r="O235" s="17">
        <f t="shared" si="54"/>
        <v>4.3599999999999994</v>
      </c>
      <c r="P235" s="18">
        <f t="shared" si="55"/>
        <v>67.2</v>
      </c>
      <c r="Q235" s="19">
        <f t="shared" si="56"/>
        <v>104.16000000000001</v>
      </c>
      <c r="R235" s="19">
        <f t="shared" si="57"/>
        <v>36.960000000000008</v>
      </c>
      <c r="S235" s="20"/>
      <c r="T235" s="21" t="s">
        <v>235</v>
      </c>
    </row>
    <row r="236" spans="1:20" ht="15.75" x14ac:dyDescent="0.25">
      <c r="A236" s="11">
        <f>[1]Лист4!A146</f>
        <v>8</v>
      </c>
      <c r="B236" s="12" t="str">
        <f>[1]Лист4!C146</f>
        <v>Книфофия</v>
      </c>
      <c r="C236" s="13">
        <f>[1]Лист4!D146</f>
        <v>20</v>
      </c>
      <c r="D236" s="14">
        <f>[1]Лист4!F146</f>
        <v>1</v>
      </c>
      <c r="E236" s="15">
        <f t="shared" si="46"/>
        <v>20</v>
      </c>
      <c r="F236" s="15">
        <f t="shared" si="47"/>
        <v>8.2600000000000007E-2</v>
      </c>
      <c r="G236" s="16">
        <f t="shared" si="43"/>
        <v>1.9</v>
      </c>
      <c r="H236" s="16">
        <f t="shared" si="48"/>
        <v>5.64</v>
      </c>
      <c r="I236" s="16">
        <f t="shared" si="49"/>
        <v>6.5</v>
      </c>
      <c r="J236" s="16">
        <f t="shared" si="50"/>
        <v>5.58</v>
      </c>
      <c r="K236" s="16">
        <f t="shared" si="51"/>
        <v>7.9799999999999995</v>
      </c>
      <c r="L236" s="17">
        <f t="shared" si="58"/>
        <v>2.9449999999999998</v>
      </c>
      <c r="M236" s="16">
        <f t="shared" si="52"/>
        <v>2.5999999999999996</v>
      </c>
      <c r="N236" s="17">
        <f t="shared" si="53"/>
        <v>8.4</v>
      </c>
      <c r="O236" s="17">
        <f t="shared" si="54"/>
        <v>7.3999999999999995</v>
      </c>
      <c r="P236" s="18">
        <f t="shared" si="55"/>
        <v>38</v>
      </c>
      <c r="Q236" s="19">
        <f t="shared" si="56"/>
        <v>58.9</v>
      </c>
      <c r="R236" s="19">
        <f t="shared" si="57"/>
        <v>20.9</v>
      </c>
      <c r="S236" s="20"/>
      <c r="T236" s="21" t="s">
        <v>236</v>
      </c>
    </row>
    <row r="237" spans="1:20" ht="15.75" x14ac:dyDescent="0.25">
      <c r="A237" s="11">
        <f>[1]Лист4!A94</f>
        <v>8</v>
      </c>
      <c r="B237" s="12" t="str">
        <f>[1]Лист4!C94</f>
        <v>Котинус Роял перпл</v>
      </c>
      <c r="C237" s="13">
        <f>[1]Лист4!D94</f>
        <v>25</v>
      </c>
      <c r="D237" s="14">
        <f>[1]Лист4!F94</f>
        <v>0.8</v>
      </c>
      <c r="E237" s="15">
        <f t="shared" si="46"/>
        <v>20</v>
      </c>
      <c r="F237" s="15">
        <f t="shared" si="47"/>
        <v>6.608E-2</v>
      </c>
      <c r="G237" s="16">
        <f t="shared" si="43"/>
        <v>1.55</v>
      </c>
      <c r="H237" s="16">
        <f t="shared" si="48"/>
        <v>4.5999999999999996</v>
      </c>
      <c r="I237" s="16">
        <f t="shared" si="49"/>
        <v>5.31</v>
      </c>
      <c r="J237" s="16">
        <f t="shared" si="50"/>
        <v>4.5599999999999996</v>
      </c>
      <c r="K237" s="16">
        <f t="shared" si="51"/>
        <v>6.5074999999999994</v>
      </c>
      <c r="L237" s="17">
        <f t="shared" si="58"/>
        <v>2.4025000000000003</v>
      </c>
      <c r="M237" s="16">
        <f t="shared" si="52"/>
        <v>2.1199999999999997</v>
      </c>
      <c r="N237" s="17">
        <f t="shared" si="53"/>
        <v>6.85</v>
      </c>
      <c r="O237" s="17">
        <f t="shared" si="54"/>
        <v>6.0299999999999994</v>
      </c>
      <c r="P237" s="18">
        <f t="shared" si="55"/>
        <v>38.75</v>
      </c>
      <c r="Q237" s="19">
        <f t="shared" si="56"/>
        <v>60.062500000000007</v>
      </c>
      <c r="R237" s="19">
        <f t="shared" si="57"/>
        <v>21.312500000000007</v>
      </c>
      <c r="S237" s="20"/>
      <c r="T237" s="21" t="s">
        <v>237</v>
      </c>
    </row>
    <row r="238" spans="1:20" ht="15.75" x14ac:dyDescent="0.25">
      <c r="A238" s="11">
        <f>[1]Лист4!A95</f>
        <v>8</v>
      </c>
      <c r="B238" s="12" t="str">
        <f>[1]Лист4!C95</f>
        <v>Куркума светло-розовая</v>
      </c>
      <c r="C238" s="13">
        <f>[1]Лист4!D95</f>
        <v>32</v>
      </c>
      <c r="D238" s="14">
        <f>[1]Лист4!F95</f>
        <v>0.68</v>
      </c>
      <c r="E238" s="15">
        <f t="shared" si="46"/>
        <v>21.76</v>
      </c>
      <c r="F238" s="15">
        <f t="shared" si="47"/>
        <v>5.6168000000000003E-2</v>
      </c>
      <c r="G238" s="16">
        <f t="shared" si="43"/>
        <v>1.34</v>
      </c>
      <c r="H238" s="16">
        <f t="shared" si="48"/>
        <v>3.98</v>
      </c>
      <c r="I238" s="16">
        <f t="shared" si="49"/>
        <v>4.59</v>
      </c>
      <c r="J238" s="16">
        <f t="shared" si="50"/>
        <v>3.94</v>
      </c>
      <c r="K238" s="16">
        <f t="shared" si="51"/>
        <v>5.6239999999999997</v>
      </c>
      <c r="L238" s="17">
        <f t="shared" si="58"/>
        <v>2.0770000000000004</v>
      </c>
      <c r="M238" s="16">
        <f t="shared" si="52"/>
        <v>1.83</v>
      </c>
      <c r="N238" s="17">
        <f t="shared" si="53"/>
        <v>5.92</v>
      </c>
      <c r="O238" s="17">
        <f t="shared" si="54"/>
        <v>5.21</v>
      </c>
      <c r="P238" s="18">
        <f t="shared" si="55"/>
        <v>42.88</v>
      </c>
      <c r="Q238" s="19">
        <f t="shared" si="56"/>
        <v>66.464000000000013</v>
      </c>
      <c r="R238" s="19">
        <f t="shared" si="57"/>
        <v>23.58400000000001</v>
      </c>
      <c r="S238" s="20"/>
      <c r="T238" s="21" t="s">
        <v>238</v>
      </c>
    </row>
    <row r="239" spans="1:20" ht="15.75" x14ac:dyDescent="0.25">
      <c r="A239" s="11">
        <f>[1]Лист4!A147</f>
        <v>8</v>
      </c>
      <c r="B239" s="12" t="str">
        <f>[1]Лист4!C147</f>
        <v>Латирус белый</v>
      </c>
      <c r="C239" s="13">
        <f>[1]Лист4!D147</f>
        <v>100</v>
      </c>
      <c r="D239" s="14">
        <f>[1]Лист4!F147</f>
        <v>0.48</v>
      </c>
      <c r="E239" s="15">
        <f t="shared" si="46"/>
        <v>48</v>
      </c>
      <c r="F239" s="15">
        <f t="shared" si="47"/>
        <v>3.9647999999999996E-2</v>
      </c>
      <c r="G239" s="16">
        <f t="shared" si="43"/>
        <v>1</v>
      </c>
      <c r="H239" s="16">
        <f t="shared" si="48"/>
        <v>2.9699999999999998</v>
      </c>
      <c r="I239" s="16">
        <f t="shared" si="49"/>
        <v>3.42</v>
      </c>
      <c r="J239" s="16">
        <f t="shared" si="50"/>
        <v>2.94</v>
      </c>
      <c r="K239" s="16">
        <f t="shared" si="51"/>
        <v>4.1989999999999998</v>
      </c>
      <c r="L239" s="17">
        <f t="shared" si="58"/>
        <v>1.55</v>
      </c>
      <c r="M239" s="16">
        <f t="shared" si="52"/>
        <v>1.37</v>
      </c>
      <c r="N239" s="17">
        <f t="shared" si="53"/>
        <v>4.42</v>
      </c>
      <c r="O239" s="17">
        <f t="shared" si="54"/>
        <v>3.8899999999999997</v>
      </c>
      <c r="P239" s="18">
        <f t="shared" si="55"/>
        <v>100</v>
      </c>
      <c r="Q239" s="19">
        <f t="shared" si="56"/>
        <v>155</v>
      </c>
      <c r="R239" s="19">
        <f t="shared" si="57"/>
        <v>55</v>
      </c>
      <c r="S239" s="20"/>
      <c r="T239" s="21" t="s">
        <v>239</v>
      </c>
    </row>
    <row r="240" spans="1:20" ht="15.75" x14ac:dyDescent="0.25">
      <c r="A240" s="11">
        <f>[1]Лист4!A148</f>
        <v>8</v>
      </c>
      <c r="B240" s="12" t="str">
        <f>[1]Лист4!C148</f>
        <v>Леукандендрон айоба Африка</v>
      </c>
      <c r="C240" s="13">
        <f>[1]Лист4!D148</f>
        <v>60</v>
      </c>
      <c r="D240" s="14">
        <f>[1]Лист4!F148</f>
        <v>0.74</v>
      </c>
      <c r="E240" s="15">
        <f t="shared" si="46"/>
        <v>44.4</v>
      </c>
      <c r="F240" s="15">
        <f t="shared" si="47"/>
        <v>6.1124000000000005E-2</v>
      </c>
      <c r="G240" s="16">
        <f t="shared" si="43"/>
        <v>1.45</v>
      </c>
      <c r="H240" s="16">
        <f t="shared" si="48"/>
        <v>4.3</v>
      </c>
      <c r="I240" s="16">
        <f t="shared" si="49"/>
        <v>4.96</v>
      </c>
      <c r="J240" s="16">
        <f t="shared" si="50"/>
        <v>4.26</v>
      </c>
      <c r="K240" s="16">
        <f t="shared" si="51"/>
        <v>6.0895000000000001</v>
      </c>
      <c r="L240" s="17">
        <f t="shared" si="58"/>
        <v>2.2475000000000001</v>
      </c>
      <c r="M240" s="16">
        <f t="shared" si="52"/>
        <v>1.98</v>
      </c>
      <c r="N240" s="17">
        <f t="shared" si="53"/>
        <v>6.41</v>
      </c>
      <c r="O240" s="17">
        <f t="shared" si="54"/>
        <v>5.6499999999999995</v>
      </c>
      <c r="P240" s="18">
        <f t="shared" si="55"/>
        <v>87</v>
      </c>
      <c r="Q240" s="19">
        <f t="shared" si="56"/>
        <v>134.85</v>
      </c>
      <c r="R240" s="19">
        <f t="shared" si="57"/>
        <v>47.849999999999994</v>
      </c>
      <c r="S240" s="20"/>
      <c r="T240" s="21" t="s">
        <v>240</v>
      </c>
    </row>
    <row r="241" spans="1:20" ht="15.75" x14ac:dyDescent="0.25">
      <c r="A241" s="11">
        <f>[1]Лист4!A150</f>
        <v>8</v>
      </c>
      <c r="B241" s="12" t="str">
        <f>[1]Лист4!C150</f>
        <v>Леукоспернум красный</v>
      </c>
      <c r="C241" s="13">
        <f>[1]Лист4!D150</f>
        <v>30</v>
      </c>
      <c r="D241" s="14">
        <f>[1]Лист4!F150</f>
        <v>1.42</v>
      </c>
      <c r="E241" s="15">
        <f t="shared" si="46"/>
        <v>42.599999999999994</v>
      </c>
      <c r="F241" s="15">
        <f t="shared" si="47"/>
        <v>0.11729199999999999</v>
      </c>
      <c r="G241" s="16">
        <f t="shared" si="43"/>
        <v>2.62</v>
      </c>
      <c r="H241" s="16">
        <f t="shared" si="48"/>
        <v>7.77</v>
      </c>
      <c r="I241" s="16">
        <f t="shared" si="49"/>
        <v>8.9700000000000006</v>
      </c>
      <c r="J241" s="16">
        <f t="shared" si="50"/>
        <v>7.7</v>
      </c>
      <c r="K241" s="16">
        <f t="shared" si="51"/>
        <v>11.000999999999999</v>
      </c>
      <c r="L241" s="17">
        <f t="shared" si="58"/>
        <v>4.0609999999999999</v>
      </c>
      <c r="M241" s="16">
        <f t="shared" si="52"/>
        <v>3.5799999999999996</v>
      </c>
      <c r="N241" s="17">
        <f t="shared" si="53"/>
        <v>11.58</v>
      </c>
      <c r="O241" s="17">
        <f t="shared" si="54"/>
        <v>10.199999999999999</v>
      </c>
      <c r="P241" s="18">
        <f t="shared" si="55"/>
        <v>78.600000000000009</v>
      </c>
      <c r="Q241" s="19">
        <f t="shared" si="56"/>
        <v>121.83</v>
      </c>
      <c r="R241" s="19">
        <f t="shared" si="57"/>
        <v>43.22999999999999</v>
      </c>
      <c r="S241" s="20"/>
      <c r="T241" s="21" t="s">
        <v>241</v>
      </c>
    </row>
    <row r="242" spans="1:20" ht="15.75" x14ac:dyDescent="0.25">
      <c r="A242" s="11">
        <f>[1]Лист4!A149</f>
        <v>8</v>
      </c>
      <c r="B242" s="12" t="str">
        <f>[1]Лист4!C149</f>
        <v>Леукоспернум крашенный красный</v>
      </c>
      <c r="C242" s="13">
        <f>[1]Лист4!D149</f>
        <v>90</v>
      </c>
      <c r="D242" s="14">
        <f>[1]Лист4!F149</f>
        <v>1.45</v>
      </c>
      <c r="E242" s="15">
        <f t="shared" si="46"/>
        <v>130.5</v>
      </c>
      <c r="F242" s="15">
        <f t="shared" si="47"/>
        <v>0.11977</v>
      </c>
      <c r="G242" s="16">
        <f t="shared" si="43"/>
        <v>2.67</v>
      </c>
      <c r="H242" s="16">
        <f t="shared" si="48"/>
        <v>7.92</v>
      </c>
      <c r="I242" s="16">
        <f t="shared" si="49"/>
        <v>9.14</v>
      </c>
      <c r="J242" s="16">
        <f t="shared" si="50"/>
        <v>7.84</v>
      </c>
      <c r="K242" s="16">
        <f t="shared" si="51"/>
        <v>11.209999999999999</v>
      </c>
      <c r="L242" s="17">
        <f t="shared" si="58"/>
        <v>4.1384999999999996</v>
      </c>
      <c r="M242" s="16">
        <f t="shared" si="52"/>
        <v>3.65</v>
      </c>
      <c r="N242" s="17">
        <f t="shared" si="53"/>
        <v>11.799999999999999</v>
      </c>
      <c r="O242" s="17">
        <f t="shared" si="54"/>
        <v>10.39</v>
      </c>
      <c r="P242" s="18">
        <f t="shared" si="55"/>
        <v>240.29999999999998</v>
      </c>
      <c r="Q242" s="19">
        <f t="shared" si="56"/>
        <v>372.46499999999997</v>
      </c>
      <c r="R242" s="19">
        <f t="shared" si="57"/>
        <v>132.16499999999999</v>
      </c>
      <c r="S242" s="20"/>
      <c r="T242" s="21" t="s">
        <v>242</v>
      </c>
    </row>
    <row r="243" spans="1:20" ht="15.75" x14ac:dyDescent="0.25">
      <c r="A243" s="11">
        <f>[1]Лист4!A161</f>
        <v>8</v>
      </c>
      <c r="B243" s="12" t="str">
        <f>[1]Лист4!C161</f>
        <v>Матиола Априкот</v>
      </c>
      <c r="C243" s="13">
        <f>[1]Лист4!D161</f>
        <v>300</v>
      </c>
      <c r="D243" s="14">
        <f>[1]Лист4!F161</f>
        <v>0.43</v>
      </c>
      <c r="E243" s="15">
        <f t="shared" si="46"/>
        <v>129</v>
      </c>
      <c r="F243" s="15">
        <f t="shared" si="47"/>
        <v>3.5518000000000001E-2</v>
      </c>
      <c r="G243" s="16">
        <f t="shared" si="43"/>
        <v>0.91</v>
      </c>
      <c r="H243" s="16">
        <f t="shared" si="48"/>
        <v>2.6999999999999997</v>
      </c>
      <c r="I243" s="16">
        <f t="shared" si="49"/>
        <v>3.1199999999999997</v>
      </c>
      <c r="J243" s="16">
        <f t="shared" si="50"/>
        <v>2.6799999999999997</v>
      </c>
      <c r="K243" s="16">
        <f t="shared" si="51"/>
        <v>3.7905000000000002</v>
      </c>
      <c r="L243" s="17">
        <v>1.4</v>
      </c>
      <c r="M243" s="16">
        <f t="shared" si="52"/>
        <v>1.24</v>
      </c>
      <c r="N243" s="17">
        <f t="shared" si="53"/>
        <v>3.99</v>
      </c>
      <c r="O243" s="17">
        <f t="shared" si="54"/>
        <v>3.5199999999999996</v>
      </c>
      <c r="P243" s="18">
        <f t="shared" si="55"/>
        <v>273</v>
      </c>
      <c r="Q243" s="19">
        <f t="shared" si="56"/>
        <v>420</v>
      </c>
      <c r="R243" s="19">
        <f t="shared" si="57"/>
        <v>147</v>
      </c>
      <c r="S243" s="20"/>
      <c r="T243" s="21" t="s">
        <v>75</v>
      </c>
    </row>
    <row r="244" spans="1:20" ht="15.75" x14ac:dyDescent="0.25">
      <c r="A244" s="11">
        <f>[1]Лист4!A158</f>
        <v>8</v>
      </c>
      <c r="B244" s="12" t="str">
        <f>[1]Лист4!C158</f>
        <v>Матиола белая</v>
      </c>
      <c r="C244" s="13">
        <f>[1]Лист4!D158</f>
        <v>600</v>
      </c>
      <c r="D244" s="14">
        <f>[1]Лист4!F158</f>
        <v>0.4</v>
      </c>
      <c r="E244" s="15">
        <f t="shared" si="46"/>
        <v>240</v>
      </c>
      <c r="F244" s="15">
        <f t="shared" si="47"/>
        <v>3.304E-2</v>
      </c>
      <c r="G244" s="16">
        <f t="shared" si="43"/>
        <v>0.86</v>
      </c>
      <c r="H244" s="16">
        <f t="shared" si="48"/>
        <v>2.5499999999999998</v>
      </c>
      <c r="I244" s="16">
        <f t="shared" si="49"/>
        <v>2.9499999999999997</v>
      </c>
      <c r="J244" s="16">
        <f t="shared" si="50"/>
        <v>2.5299999999999998</v>
      </c>
      <c r="K244" s="16">
        <f t="shared" si="51"/>
        <v>3.7905000000000002</v>
      </c>
      <c r="L244" s="17">
        <v>1.4</v>
      </c>
      <c r="M244" s="16">
        <f t="shared" si="52"/>
        <v>1.24</v>
      </c>
      <c r="N244" s="17">
        <f t="shared" si="53"/>
        <v>3.99</v>
      </c>
      <c r="O244" s="17">
        <f t="shared" si="54"/>
        <v>3.5199999999999996</v>
      </c>
      <c r="P244" s="18">
        <f t="shared" si="55"/>
        <v>516</v>
      </c>
      <c r="Q244" s="19">
        <f t="shared" si="56"/>
        <v>840</v>
      </c>
      <c r="R244" s="19">
        <f t="shared" si="57"/>
        <v>324</v>
      </c>
      <c r="S244" s="20"/>
      <c r="T244" s="21" t="s">
        <v>93</v>
      </c>
    </row>
    <row r="245" spans="1:20" ht="15.75" x14ac:dyDescent="0.25">
      <c r="A245" s="11">
        <f>[1]Лист4!A159</f>
        <v>8</v>
      </c>
      <c r="B245" s="12" t="str">
        <f>[1]Лист4!C159</f>
        <v>Матиола розовая</v>
      </c>
      <c r="C245" s="13">
        <f>[1]Лист4!D159</f>
        <v>720</v>
      </c>
      <c r="D245" s="14">
        <f>[1]Лист4!F159</f>
        <v>0.52</v>
      </c>
      <c r="E245" s="15">
        <f t="shared" si="46"/>
        <v>374.40000000000003</v>
      </c>
      <c r="F245" s="15">
        <f t="shared" si="47"/>
        <v>4.2952000000000004E-2</v>
      </c>
      <c r="G245" s="16">
        <f t="shared" si="43"/>
        <v>1.07</v>
      </c>
      <c r="H245" s="16">
        <f t="shared" si="48"/>
        <v>3.1799999999999997</v>
      </c>
      <c r="I245" s="16">
        <f t="shared" si="49"/>
        <v>3.6599999999999997</v>
      </c>
      <c r="J245" s="16">
        <f t="shared" si="50"/>
        <v>3.15</v>
      </c>
      <c r="K245" s="16">
        <f t="shared" si="51"/>
        <v>4.4744999999999999</v>
      </c>
      <c r="L245" s="17">
        <v>1.65</v>
      </c>
      <c r="M245" s="16">
        <f t="shared" si="52"/>
        <v>1.46</v>
      </c>
      <c r="N245" s="17">
        <f t="shared" si="53"/>
        <v>4.71</v>
      </c>
      <c r="O245" s="17">
        <f t="shared" si="54"/>
        <v>4.1499999999999995</v>
      </c>
      <c r="P245" s="18">
        <f t="shared" si="55"/>
        <v>770.40000000000009</v>
      </c>
      <c r="Q245" s="19">
        <f t="shared" si="56"/>
        <v>1188</v>
      </c>
      <c r="R245" s="19">
        <f t="shared" si="57"/>
        <v>417.59999999999991</v>
      </c>
      <c r="S245" s="20"/>
      <c r="T245" s="21" t="s">
        <v>243</v>
      </c>
    </row>
    <row r="246" spans="1:20" ht="15.75" x14ac:dyDescent="0.25">
      <c r="A246" s="11">
        <f>[1]Лист4!A160</f>
        <v>8</v>
      </c>
      <c r="B246" s="12" t="str">
        <f>[1]Лист4!C160</f>
        <v>Матиола фиолетовая</v>
      </c>
      <c r="C246" s="13">
        <f>[1]Лист4!D160</f>
        <v>120</v>
      </c>
      <c r="D246" s="14">
        <f>[1]Лист4!F160</f>
        <v>0.38</v>
      </c>
      <c r="E246" s="15">
        <f t="shared" si="46"/>
        <v>45.6</v>
      </c>
      <c r="F246" s="15">
        <f t="shared" si="47"/>
        <v>3.1387999999999999E-2</v>
      </c>
      <c r="G246" s="16">
        <f t="shared" ref="G246:G309" si="59">ROUND((((D246*1.15)*1.18)+F246+0.14)*1.2,2)</f>
        <v>0.82</v>
      </c>
      <c r="H246" s="16">
        <f t="shared" si="48"/>
        <v>2.44</v>
      </c>
      <c r="I246" s="16">
        <f t="shared" si="49"/>
        <v>2.8099999999999996</v>
      </c>
      <c r="J246" s="16">
        <f t="shared" si="50"/>
        <v>2.4099999999999997</v>
      </c>
      <c r="K246" s="16">
        <f t="shared" si="51"/>
        <v>3.7905000000000002</v>
      </c>
      <c r="L246" s="17">
        <v>1.4</v>
      </c>
      <c r="M246" s="16">
        <f t="shared" si="52"/>
        <v>1.24</v>
      </c>
      <c r="N246" s="17">
        <f t="shared" si="53"/>
        <v>3.99</v>
      </c>
      <c r="O246" s="17">
        <f t="shared" si="54"/>
        <v>3.5199999999999996</v>
      </c>
      <c r="P246" s="18">
        <f t="shared" si="55"/>
        <v>98.399999999999991</v>
      </c>
      <c r="Q246" s="19">
        <f t="shared" si="56"/>
        <v>168</v>
      </c>
      <c r="R246" s="19">
        <f t="shared" si="57"/>
        <v>69.600000000000009</v>
      </c>
      <c r="S246" s="20"/>
      <c r="T246" s="21" t="s">
        <v>244</v>
      </c>
    </row>
    <row r="247" spans="1:20" ht="15.75" x14ac:dyDescent="0.25">
      <c r="A247" s="11">
        <f>[1]Лист4!A162</f>
        <v>8</v>
      </c>
      <c r="B247" s="12" t="str">
        <f>[1]Лист4!C162</f>
        <v>Нигела голубая, шт</v>
      </c>
      <c r="C247" s="13">
        <f>[1]Лист4!D162</f>
        <v>150</v>
      </c>
      <c r="D247" s="14">
        <f>[1]Лист4!F162</f>
        <v>0.46</v>
      </c>
      <c r="E247" s="15">
        <f t="shared" si="46"/>
        <v>69</v>
      </c>
      <c r="F247" s="15">
        <f t="shared" si="47"/>
        <v>3.7996000000000002E-2</v>
      </c>
      <c r="G247" s="16">
        <f t="shared" si="59"/>
        <v>0.96</v>
      </c>
      <c r="H247" s="16">
        <f t="shared" si="48"/>
        <v>2.8499999999999996</v>
      </c>
      <c r="I247" s="16">
        <f t="shared" si="49"/>
        <v>3.2899999999999996</v>
      </c>
      <c r="J247" s="16">
        <f t="shared" si="50"/>
        <v>2.82</v>
      </c>
      <c r="K247" s="16">
        <f t="shared" si="51"/>
        <v>4.0659999999999989</v>
      </c>
      <c r="L247" s="17">
        <v>1.5</v>
      </c>
      <c r="M247" s="16">
        <f t="shared" si="52"/>
        <v>1.32</v>
      </c>
      <c r="N247" s="17">
        <f t="shared" si="53"/>
        <v>4.2799999999999994</v>
      </c>
      <c r="O247" s="17">
        <f t="shared" si="54"/>
        <v>3.7699999999999996</v>
      </c>
      <c r="P247" s="18">
        <f t="shared" si="55"/>
        <v>144</v>
      </c>
      <c r="Q247" s="19">
        <f t="shared" si="56"/>
        <v>225</v>
      </c>
      <c r="R247" s="19">
        <f t="shared" si="57"/>
        <v>81</v>
      </c>
      <c r="S247" s="20"/>
      <c r="T247" s="21" t="s">
        <v>245</v>
      </c>
    </row>
    <row r="248" spans="1:20" ht="15.75" x14ac:dyDescent="0.25">
      <c r="A248" s="11">
        <f>[1]Лист4!A163</f>
        <v>8</v>
      </c>
      <c r="B248" s="12" t="str">
        <f>[1]Лист4!C163</f>
        <v>Оксипеталум</v>
      </c>
      <c r="C248" s="13">
        <f>[1]Лист4!D163</f>
        <v>50</v>
      </c>
      <c r="D248" s="14">
        <f>[1]Лист4!F163</f>
        <v>0.48</v>
      </c>
      <c r="E248" s="15">
        <f t="shared" si="46"/>
        <v>24</v>
      </c>
      <c r="F248" s="15">
        <f t="shared" si="47"/>
        <v>3.9647999999999996E-2</v>
      </c>
      <c r="G248" s="16">
        <f t="shared" si="59"/>
        <v>1</v>
      </c>
      <c r="H248" s="16">
        <f t="shared" si="48"/>
        <v>2.9699999999999998</v>
      </c>
      <c r="I248" s="16">
        <f t="shared" si="49"/>
        <v>3.42</v>
      </c>
      <c r="J248" s="16">
        <f t="shared" si="50"/>
        <v>2.94</v>
      </c>
      <c r="K248" s="16">
        <f t="shared" si="51"/>
        <v>4.1989999999999998</v>
      </c>
      <c r="L248" s="17">
        <f>G248*1.55</f>
        <v>1.55</v>
      </c>
      <c r="M248" s="16">
        <f t="shared" si="52"/>
        <v>1.37</v>
      </c>
      <c r="N248" s="17">
        <f t="shared" si="53"/>
        <v>4.42</v>
      </c>
      <c r="O248" s="17">
        <f t="shared" si="54"/>
        <v>3.8899999999999997</v>
      </c>
      <c r="P248" s="18">
        <f t="shared" si="55"/>
        <v>50</v>
      </c>
      <c r="Q248" s="19">
        <f t="shared" si="56"/>
        <v>77.5</v>
      </c>
      <c r="R248" s="19">
        <f t="shared" si="57"/>
        <v>27.5</v>
      </c>
      <c r="S248" s="20"/>
      <c r="T248" s="21" t="s">
        <v>76</v>
      </c>
    </row>
    <row r="249" spans="1:20" ht="15.75" x14ac:dyDescent="0.25">
      <c r="A249" s="11">
        <f>[1]Лист4!A176</f>
        <v>8</v>
      </c>
      <c r="B249" s="12" t="str">
        <f>[1]Лист4!C176</f>
        <v>Пион Гардения розовый</v>
      </c>
      <c r="C249" s="13">
        <f>[1]Лист4!D176</f>
        <v>60</v>
      </c>
      <c r="D249" s="14">
        <f>[1]Лист4!F176</f>
        <v>0.62</v>
      </c>
      <c r="E249" s="15">
        <f t="shared" si="46"/>
        <v>37.200000000000003</v>
      </c>
      <c r="F249" s="15">
        <f t="shared" si="47"/>
        <v>5.1212000000000001E-2</v>
      </c>
      <c r="G249" s="16">
        <f t="shared" si="59"/>
        <v>1.24</v>
      </c>
      <c r="H249" s="16">
        <f t="shared" si="48"/>
        <v>3.6799999999999997</v>
      </c>
      <c r="I249" s="16">
        <f t="shared" si="49"/>
        <v>4.25</v>
      </c>
      <c r="J249" s="16">
        <f t="shared" si="50"/>
        <v>3.65</v>
      </c>
      <c r="K249" s="16">
        <f t="shared" si="51"/>
        <v>5.2059999999999995</v>
      </c>
      <c r="L249" s="17">
        <f>G249*1.55</f>
        <v>1.9219999999999999</v>
      </c>
      <c r="M249" s="16">
        <f t="shared" si="52"/>
        <v>1.7</v>
      </c>
      <c r="N249" s="17">
        <f t="shared" si="53"/>
        <v>5.4799999999999995</v>
      </c>
      <c r="O249" s="17">
        <f t="shared" si="54"/>
        <v>4.83</v>
      </c>
      <c r="P249" s="18">
        <f t="shared" si="55"/>
        <v>74.400000000000006</v>
      </c>
      <c r="Q249" s="19">
        <f t="shared" si="56"/>
        <v>115.32</v>
      </c>
      <c r="R249" s="19">
        <f t="shared" si="57"/>
        <v>40.919999999999987</v>
      </c>
      <c r="S249" s="20"/>
      <c r="T249" s="21" t="s">
        <v>246</v>
      </c>
    </row>
    <row r="250" spans="1:20" ht="15.75" x14ac:dyDescent="0.25">
      <c r="A250" s="11">
        <f>[1]Лист4!A164</f>
        <v>8</v>
      </c>
      <c r="B250" s="12" t="str">
        <f>[1]Лист4!C164</f>
        <v>Пион Корал Сансет</v>
      </c>
      <c r="C250" s="13">
        <f>[1]Лист4!D164</f>
        <v>2040</v>
      </c>
      <c r="D250" s="14">
        <f>[1]Лист4!F164</f>
        <v>1.25</v>
      </c>
      <c r="E250" s="15">
        <f t="shared" si="46"/>
        <v>2550</v>
      </c>
      <c r="F250" s="15">
        <f t="shared" si="47"/>
        <v>0.10324999999999999</v>
      </c>
      <c r="G250" s="16">
        <f t="shared" si="59"/>
        <v>2.33</v>
      </c>
      <c r="H250" s="16">
        <f t="shared" si="48"/>
        <v>6.91</v>
      </c>
      <c r="I250" s="16">
        <f t="shared" si="49"/>
        <v>7.97</v>
      </c>
      <c r="J250" s="16">
        <f t="shared" si="50"/>
        <v>6.84</v>
      </c>
      <c r="K250" s="16">
        <f t="shared" si="51"/>
        <v>8.9394999999999989</v>
      </c>
      <c r="L250" s="17">
        <v>3.3</v>
      </c>
      <c r="M250" s="16">
        <f t="shared" si="52"/>
        <v>2.9099999999999997</v>
      </c>
      <c r="N250" s="17">
        <f t="shared" si="53"/>
        <v>9.41</v>
      </c>
      <c r="O250" s="17">
        <f t="shared" si="54"/>
        <v>8.2899999999999991</v>
      </c>
      <c r="P250" s="18">
        <f t="shared" si="55"/>
        <v>4753.2</v>
      </c>
      <c r="Q250" s="19">
        <f t="shared" si="56"/>
        <v>6732</v>
      </c>
      <c r="R250" s="19">
        <f t="shared" si="57"/>
        <v>1978.8000000000002</v>
      </c>
      <c r="S250" s="20"/>
      <c r="T250" s="21" t="s">
        <v>20</v>
      </c>
    </row>
    <row r="251" spans="1:20" ht="15.75" x14ac:dyDescent="0.25">
      <c r="A251" s="11">
        <f>[1]Лист4!A177</f>
        <v>8</v>
      </c>
      <c r="B251" s="12" t="str">
        <f>[1]Лист4!C177</f>
        <v>Пион Лемон Шифон</v>
      </c>
      <c r="C251" s="13">
        <f>[1]Лист4!D177</f>
        <v>50</v>
      </c>
      <c r="D251" s="14">
        <f>[1]Лист4!F177</f>
        <v>1.97</v>
      </c>
      <c r="E251" s="15">
        <f t="shared" si="46"/>
        <v>98.5</v>
      </c>
      <c r="F251" s="15">
        <f t="shared" si="47"/>
        <v>0.16272200000000001</v>
      </c>
      <c r="G251" s="16">
        <f t="shared" si="59"/>
        <v>3.57</v>
      </c>
      <c r="H251" s="16">
        <f t="shared" si="48"/>
        <v>10.59</v>
      </c>
      <c r="I251" s="16">
        <f t="shared" si="49"/>
        <v>12.209999999999999</v>
      </c>
      <c r="J251" s="16">
        <f t="shared" si="50"/>
        <v>10.48</v>
      </c>
      <c r="K251" s="16">
        <f t="shared" si="51"/>
        <v>14.895999999999999</v>
      </c>
      <c r="L251" s="17">
        <v>5.5</v>
      </c>
      <c r="M251" s="16">
        <f t="shared" si="52"/>
        <v>4.84</v>
      </c>
      <c r="N251" s="17">
        <f t="shared" si="53"/>
        <v>15.68</v>
      </c>
      <c r="O251" s="17">
        <f t="shared" si="54"/>
        <v>13.799999999999999</v>
      </c>
      <c r="P251" s="18">
        <f t="shared" si="55"/>
        <v>178.5</v>
      </c>
      <c r="Q251" s="19">
        <f t="shared" si="56"/>
        <v>275</v>
      </c>
      <c r="R251" s="19">
        <f t="shared" si="57"/>
        <v>96.5</v>
      </c>
      <c r="S251" s="20"/>
      <c r="T251" s="21" t="s">
        <v>247</v>
      </c>
    </row>
    <row r="252" spans="1:20" ht="15.75" x14ac:dyDescent="0.25">
      <c r="A252" s="11">
        <f>[1]Лист4!A178</f>
        <v>8</v>
      </c>
      <c r="B252" s="12" t="str">
        <f>[1]Лист4!C178</f>
        <v>Пион Мадам Клауд Тейн</v>
      </c>
      <c r="C252" s="13">
        <f>[1]Лист4!D178</f>
        <v>350</v>
      </c>
      <c r="D252" s="14">
        <f>[1]Лист4!F178</f>
        <v>1.3</v>
      </c>
      <c r="E252" s="15">
        <f t="shared" si="46"/>
        <v>455</v>
      </c>
      <c r="F252" s="15">
        <f t="shared" si="47"/>
        <v>0.10738000000000002</v>
      </c>
      <c r="G252" s="16">
        <f t="shared" si="59"/>
        <v>2.41</v>
      </c>
      <c r="H252" s="16">
        <f t="shared" si="48"/>
        <v>7.1499999999999995</v>
      </c>
      <c r="I252" s="16">
        <f t="shared" si="49"/>
        <v>8.25</v>
      </c>
      <c r="J252" s="16">
        <f t="shared" si="50"/>
        <v>7.08</v>
      </c>
      <c r="K252" s="16">
        <f t="shared" si="51"/>
        <v>10.022499999999999</v>
      </c>
      <c r="L252" s="17">
        <v>3.7</v>
      </c>
      <c r="M252" s="16">
        <f t="shared" si="52"/>
        <v>3.26</v>
      </c>
      <c r="N252" s="17">
        <f t="shared" si="53"/>
        <v>10.549999999999999</v>
      </c>
      <c r="O252" s="17">
        <f t="shared" si="54"/>
        <v>9.2899999999999991</v>
      </c>
      <c r="P252" s="18">
        <f t="shared" si="55"/>
        <v>843.5</v>
      </c>
      <c r="Q252" s="19">
        <f t="shared" si="56"/>
        <v>1295</v>
      </c>
      <c r="R252" s="19">
        <f t="shared" si="57"/>
        <v>451.5</v>
      </c>
      <c r="S252" s="20"/>
      <c r="T252" s="21" t="s">
        <v>248</v>
      </c>
    </row>
    <row r="253" spans="1:20" ht="15.75" x14ac:dyDescent="0.25">
      <c r="A253" s="11">
        <f>[1]Лист4!A179</f>
        <v>8</v>
      </c>
      <c r="B253" s="12" t="str">
        <f>[1]Лист4!C179</f>
        <v>Пион Одиль бело-розовый</v>
      </c>
      <c r="C253" s="13">
        <f>[1]Лист4!D179</f>
        <v>300</v>
      </c>
      <c r="D253" s="14">
        <f>[1]Лист4!F179</f>
        <v>0.69</v>
      </c>
      <c r="E253" s="15">
        <f t="shared" si="46"/>
        <v>206.99999999999997</v>
      </c>
      <c r="F253" s="15">
        <f t="shared" si="47"/>
        <v>5.6994000000000003E-2</v>
      </c>
      <c r="G253" s="16">
        <f t="shared" si="59"/>
        <v>1.36</v>
      </c>
      <c r="H253" s="16">
        <f t="shared" si="48"/>
        <v>4.04</v>
      </c>
      <c r="I253" s="16">
        <f t="shared" si="49"/>
        <v>4.66</v>
      </c>
      <c r="J253" s="16">
        <f t="shared" si="50"/>
        <v>4</v>
      </c>
      <c r="K253" s="16">
        <f t="shared" si="51"/>
        <v>5.6905000000000001</v>
      </c>
      <c r="L253" s="17">
        <v>2.1</v>
      </c>
      <c r="M253" s="16">
        <f t="shared" si="52"/>
        <v>1.85</v>
      </c>
      <c r="N253" s="17">
        <f t="shared" si="53"/>
        <v>5.99</v>
      </c>
      <c r="O253" s="17">
        <f t="shared" si="54"/>
        <v>5.2799999999999994</v>
      </c>
      <c r="P253" s="18">
        <f t="shared" si="55"/>
        <v>408.00000000000006</v>
      </c>
      <c r="Q253" s="19">
        <f t="shared" si="56"/>
        <v>630</v>
      </c>
      <c r="R253" s="19">
        <f t="shared" si="57"/>
        <v>221.99999999999994</v>
      </c>
      <c r="S253" s="20"/>
      <c r="T253" s="21" t="s">
        <v>249</v>
      </c>
    </row>
    <row r="254" spans="1:20" ht="15.75" x14ac:dyDescent="0.25">
      <c r="A254" s="11">
        <f>[1]Лист4!A173</f>
        <v>8</v>
      </c>
      <c r="B254" s="12" t="str">
        <f>[1]Лист4!C173</f>
        <v>Пион Сара Бернард</v>
      </c>
      <c r="C254" s="13">
        <f>[1]Лист4!D173</f>
        <v>1400</v>
      </c>
      <c r="D254" s="14">
        <f>[1]Лист4!F173</f>
        <v>1.03</v>
      </c>
      <c r="E254" s="15">
        <f t="shared" si="46"/>
        <v>1442</v>
      </c>
      <c r="F254" s="15">
        <f t="shared" si="47"/>
        <v>8.5078000000000015E-2</v>
      </c>
      <c r="G254" s="16">
        <f t="shared" si="59"/>
        <v>1.95</v>
      </c>
      <c r="H254" s="16">
        <f t="shared" si="48"/>
        <v>5.7799999999999994</v>
      </c>
      <c r="I254" s="16">
        <f t="shared" si="49"/>
        <v>6.67</v>
      </c>
      <c r="J254" s="16">
        <f t="shared" si="50"/>
        <v>5.7299999999999995</v>
      </c>
      <c r="K254" s="16">
        <f t="shared" si="51"/>
        <v>7.3149999999999995</v>
      </c>
      <c r="L254" s="17">
        <v>2.7</v>
      </c>
      <c r="M254" s="16">
        <f t="shared" si="52"/>
        <v>2.38</v>
      </c>
      <c r="N254" s="17">
        <f t="shared" si="53"/>
        <v>7.7</v>
      </c>
      <c r="O254" s="17">
        <f t="shared" si="54"/>
        <v>6.7799999999999994</v>
      </c>
      <c r="P254" s="18">
        <f t="shared" si="55"/>
        <v>2730</v>
      </c>
      <c r="Q254" s="19">
        <f t="shared" si="56"/>
        <v>3780.0000000000005</v>
      </c>
      <c r="R254" s="19">
        <f t="shared" si="57"/>
        <v>1050.0000000000005</v>
      </c>
      <c r="S254" s="20"/>
      <c r="T254" s="21" t="s">
        <v>13</v>
      </c>
    </row>
    <row r="255" spans="1:20" ht="15.75" x14ac:dyDescent="0.25">
      <c r="A255" s="11">
        <f>[1]Лист4!A181</f>
        <v>8</v>
      </c>
      <c r="B255" s="12" t="str">
        <f>[1]Лист4!C181</f>
        <v>Протея Бренда</v>
      </c>
      <c r="C255" s="13">
        <f>[1]Лист4!D181</f>
        <v>40</v>
      </c>
      <c r="D255" s="14">
        <f>[1]Лист4!F181</f>
        <v>1.55</v>
      </c>
      <c r="E255" s="15">
        <f t="shared" si="46"/>
        <v>62</v>
      </c>
      <c r="F255" s="15">
        <f t="shared" si="47"/>
        <v>0.12803</v>
      </c>
      <c r="G255" s="16">
        <f t="shared" si="59"/>
        <v>2.85</v>
      </c>
      <c r="H255" s="16">
        <f t="shared" si="48"/>
        <v>8.4499999999999993</v>
      </c>
      <c r="I255" s="16">
        <f t="shared" si="49"/>
        <v>9.75</v>
      </c>
      <c r="J255" s="16">
        <f t="shared" si="50"/>
        <v>8.3699999999999992</v>
      </c>
      <c r="K255" s="16">
        <f t="shared" si="51"/>
        <v>11.9605</v>
      </c>
      <c r="L255" s="17">
        <f>G255*1.55</f>
        <v>4.4175000000000004</v>
      </c>
      <c r="M255" s="16">
        <f t="shared" si="52"/>
        <v>3.8899999999999997</v>
      </c>
      <c r="N255" s="17">
        <f t="shared" si="53"/>
        <v>12.59</v>
      </c>
      <c r="O255" s="17">
        <f t="shared" si="54"/>
        <v>11.08</v>
      </c>
      <c r="P255" s="18">
        <f t="shared" si="55"/>
        <v>114</v>
      </c>
      <c r="Q255" s="19">
        <f t="shared" si="56"/>
        <v>176.70000000000002</v>
      </c>
      <c r="R255" s="19">
        <f t="shared" si="57"/>
        <v>62.700000000000017</v>
      </c>
      <c r="S255" s="20"/>
      <c r="T255" s="21" t="s">
        <v>250</v>
      </c>
    </row>
    <row r="256" spans="1:20" ht="15.75" x14ac:dyDescent="0.25">
      <c r="A256" s="11">
        <f>[1]Лист4!A182</f>
        <v>8</v>
      </c>
      <c r="B256" s="12" t="str">
        <f>[1]Лист4!C182</f>
        <v>Протея карнавал</v>
      </c>
      <c r="C256" s="13">
        <f>[1]Лист4!D182</f>
        <v>40</v>
      </c>
      <c r="D256" s="14">
        <f>[1]Лист4!F182</f>
        <v>1.2</v>
      </c>
      <c r="E256" s="15">
        <f t="shared" si="46"/>
        <v>48</v>
      </c>
      <c r="F256" s="15">
        <f t="shared" si="47"/>
        <v>9.912E-2</v>
      </c>
      <c r="G256" s="16">
        <f t="shared" si="59"/>
        <v>2.2400000000000002</v>
      </c>
      <c r="H256" s="16">
        <f t="shared" si="48"/>
        <v>6.64</v>
      </c>
      <c r="I256" s="16">
        <f t="shared" si="49"/>
        <v>7.67</v>
      </c>
      <c r="J256" s="16">
        <f t="shared" si="50"/>
        <v>6.58</v>
      </c>
      <c r="K256" s="16">
        <f t="shared" si="51"/>
        <v>9.4049999999999994</v>
      </c>
      <c r="L256" s="17">
        <f>G256*1.55</f>
        <v>3.4720000000000004</v>
      </c>
      <c r="M256" s="16">
        <f t="shared" si="52"/>
        <v>3.0599999999999996</v>
      </c>
      <c r="N256" s="17">
        <f t="shared" si="53"/>
        <v>9.9</v>
      </c>
      <c r="O256" s="17">
        <f t="shared" si="54"/>
        <v>8.7200000000000006</v>
      </c>
      <c r="P256" s="18">
        <f t="shared" si="55"/>
        <v>89.600000000000009</v>
      </c>
      <c r="Q256" s="19">
        <f t="shared" si="56"/>
        <v>138.88000000000002</v>
      </c>
      <c r="R256" s="19">
        <f t="shared" si="57"/>
        <v>49.280000000000015</v>
      </c>
      <c r="S256" s="20"/>
      <c r="T256" s="21" t="s">
        <v>251</v>
      </c>
    </row>
    <row r="257" spans="1:20" ht="15.75" x14ac:dyDescent="0.25">
      <c r="A257" s="11">
        <f>[1]Лист4!A183</f>
        <v>8</v>
      </c>
      <c r="B257" s="12" t="str">
        <f>[1]Лист4!C183</f>
        <v>Протея Мадиба</v>
      </c>
      <c r="C257" s="13">
        <f>[1]Лист4!D183</f>
        <v>10</v>
      </c>
      <c r="D257" s="14">
        <f>[1]Лист4!F183</f>
        <v>4.22</v>
      </c>
      <c r="E257" s="15">
        <f t="shared" si="46"/>
        <v>42.199999999999996</v>
      </c>
      <c r="F257" s="15">
        <f t="shared" si="47"/>
        <v>0.34857199999999999</v>
      </c>
      <c r="G257" s="16">
        <f t="shared" si="59"/>
        <v>7.46</v>
      </c>
      <c r="H257" s="16">
        <f t="shared" si="48"/>
        <v>22.12</v>
      </c>
      <c r="I257" s="16">
        <f t="shared" si="49"/>
        <v>25.520000000000003</v>
      </c>
      <c r="J257" s="16">
        <f t="shared" si="50"/>
        <v>21.900000000000002</v>
      </c>
      <c r="K257" s="16">
        <f t="shared" si="51"/>
        <v>31.311999999999998</v>
      </c>
      <c r="L257" s="17">
        <f>G257*1.55</f>
        <v>11.563000000000001</v>
      </c>
      <c r="M257" s="16">
        <f t="shared" si="52"/>
        <v>10.18</v>
      </c>
      <c r="N257" s="17">
        <f t="shared" si="53"/>
        <v>32.96</v>
      </c>
      <c r="O257" s="17">
        <f t="shared" si="54"/>
        <v>29.01</v>
      </c>
      <c r="P257" s="18">
        <f t="shared" si="55"/>
        <v>74.599999999999994</v>
      </c>
      <c r="Q257" s="19">
        <f t="shared" si="56"/>
        <v>115.63000000000001</v>
      </c>
      <c r="R257" s="19">
        <f t="shared" si="57"/>
        <v>41.030000000000015</v>
      </c>
      <c r="S257" s="20"/>
      <c r="T257" s="21" t="s">
        <v>252</v>
      </c>
    </row>
    <row r="258" spans="1:20" ht="15.75" x14ac:dyDescent="0.25">
      <c r="A258" s="11">
        <f>[1]Лист4!A184</f>
        <v>8</v>
      </c>
      <c r="B258" s="12" t="str">
        <f>[1]Лист4!C184</f>
        <v>Ранункулус баттерфляй розовый</v>
      </c>
      <c r="C258" s="13">
        <f>[1]Лист4!D184</f>
        <v>80</v>
      </c>
      <c r="D258" s="14">
        <f>[1]Лист4!F184</f>
        <v>1.64</v>
      </c>
      <c r="E258" s="15">
        <f t="shared" si="46"/>
        <v>131.19999999999999</v>
      </c>
      <c r="F258" s="15">
        <f t="shared" si="47"/>
        <v>0.135464</v>
      </c>
      <c r="G258" s="16">
        <f t="shared" si="59"/>
        <v>3</v>
      </c>
      <c r="H258" s="16">
        <f t="shared" si="48"/>
        <v>8.9</v>
      </c>
      <c r="I258" s="16">
        <f t="shared" si="49"/>
        <v>10.26</v>
      </c>
      <c r="J258" s="16">
        <f t="shared" si="50"/>
        <v>8.81</v>
      </c>
      <c r="K258" s="16">
        <f t="shared" si="51"/>
        <v>12.597</v>
      </c>
      <c r="L258" s="17">
        <f>G258*1.55</f>
        <v>4.6500000000000004</v>
      </c>
      <c r="M258" s="16">
        <f t="shared" si="52"/>
        <v>4.0999999999999996</v>
      </c>
      <c r="N258" s="17">
        <f t="shared" si="53"/>
        <v>13.26</v>
      </c>
      <c r="O258" s="17">
        <f t="shared" si="54"/>
        <v>11.67</v>
      </c>
      <c r="P258" s="18">
        <f t="shared" si="55"/>
        <v>240</v>
      </c>
      <c r="Q258" s="19">
        <f t="shared" si="56"/>
        <v>372</v>
      </c>
      <c r="R258" s="19">
        <f t="shared" si="57"/>
        <v>132</v>
      </c>
      <c r="S258" s="20"/>
      <c r="T258" s="21" t="s">
        <v>253</v>
      </c>
    </row>
    <row r="259" spans="1:20" ht="15.75" x14ac:dyDescent="0.25">
      <c r="A259" s="11">
        <f>[1]Лист4!A187</f>
        <v>8</v>
      </c>
      <c r="B259" s="12" t="str">
        <f>[1]Лист4!C187</f>
        <v>Скабиоза белая</v>
      </c>
      <c r="C259" s="13">
        <f>[1]Лист4!D187</f>
        <v>60</v>
      </c>
      <c r="D259" s="14">
        <f>[1]Лист4!F187</f>
        <v>0.74</v>
      </c>
      <c r="E259" s="15">
        <f t="shared" ref="E259:E322" si="60">D259*C259</f>
        <v>44.4</v>
      </c>
      <c r="F259" s="15">
        <f t="shared" ref="F259:F322" si="61">D259*1.18*0.07</f>
        <v>6.1124000000000005E-2</v>
      </c>
      <c r="G259" s="16">
        <f t="shared" si="59"/>
        <v>1.45</v>
      </c>
      <c r="H259" s="16">
        <f t="shared" ref="H259:H322" si="62">ROUNDUP(G259*1.04*$N$1,2)</f>
        <v>4.3</v>
      </c>
      <c r="I259" s="16">
        <f t="shared" ref="I259:I322" si="63">ROUNDUP(G259*1.2*$N$1,2)</f>
        <v>4.96</v>
      </c>
      <c r="J259" s="16">
        <f t="shared" ref="J259:J322" si="64">ROUNDUP(G259*1.03*$N$1,2)</f>
        <v>4.26</v>
      </c>
      <c r="K259" s="16">
        <f t="shared" ref="K259:K322" si="65">N259*0.95</f>
        <v>6.0895000000000001</v>
      </c>
      <c r="L259" s="17">
        <f>G259*1.55</f>
        <v>2.2475000000000001</v>
      </c>
      <c r="M259" s="16">
        <f t="shared" ref="M259:M322" si="66">ROUNDUP(L259*0.88,2)</f>
        <v>1.98</v>
      </c>
      <c r="N259" s="17">
        <f t="shared" ref="N259:N322" si="67">ROUNDUP(L259*$N$1,2)</f>
        <v>6.41</v>
      </c>
      <c r="O259" s="17">
        <f t="shared" ref="O259:O322" si="68">ROUNDUP(N259*0.88,2)</f>
        <v>5.6499999999999995</v>
      </c>
      <c r="P259" s="18">
        <f t="shared" ref="P259:P322" si="69">G259*C259</f>
        <v>87</v>
      </c>
      <c r="Q259" s="19">
        <f t="shared" ref="Q259:Q322" si="70">L259*C259</f>
        <v>134.85</v>
      </c>
      <c r="R259" s="19">
        <f t="shared" ref="R259:R322" si="71">Q259-P259</f>
        <v>47.849999999999994</v>
      </c>
      <c r="S259" s="20"/>
      <c r="T259" s="21" t="s">
        <v>254</v>
      </c>
    </row>
    <row r="260" spans="1:20" ht="15.75" x14ac:dyDescent="0.25">
      <c r="A260" s="11">
        <f>[1]Лист4!A188</f>
        <v>8</v>
      </c>
      <c r="B260" s="12" t="str">
        <f>[1]Лист4!C188</f>
        <v>Скабиоза лавандовая</v>
      </c>
      <c r="C260" s="13">
        <f>[1]Лист4!D188</f>
        <v>60</v>
      </c>
      <c r="D260" s="14">
        <f>[1]Лист4!F188</f>
        <v>0.73</v>
      </c>
      <c r="E260" s="15">
        <f t="shared" si="60"/>
        <v>43.8</v>
      </c>
      <c r="F260" s="15">
        <f t="shared" si="61"/>
        <v>6.0298000000000004E-2</v>
      </c>
      <c r="G260" s="16">
        <f t="shared" si="59"/>
        <v>1.43</v>
      </c>
      <c r="H260" s="16">
        <f t="shared" si="62"/>
        <v>4.24</v>
      </c>
      <c r="I260" s="16">
        <f t="shared" si="63"/>
        <v>4.8999999999999995</v>
      </c>
      <c r="J260" s="16">
        <f t="shared" si="64"/>
        <v>4.2</v>
      </c>
      <c r="K260" s="16">
        <f t="shared" si="65"/>
        <v>6.0989999999999993</v>
      </c>
      <c r="L260" s="17">
        <v>2.25</v>
      </c>
      <c r="M260" s="16">
        <f t="shared" si="66"/>
        <v>1.98</v>
      </c>
      <c r="N260" s="17">
        <f t="shared" si="67"/>
        <v>6.42</v>
      </c>
      <c r="O260" s="17">
        <f t="shared" si="68"/>
        <v>5.6499999999999995</v>
      </c>
      <c r="P260" s="18">
        <f t="shared" si="69"/>
        <v>85.8</v>
      </c>
      <c r="Q260" s="19">
        <f t="shared" si="70"/>
        <v>135</v>
      </c>
      <c r="R260" s="19">
        <f t="shared" si="71"/>
        <v>49.2</v>
      </c>
      <c r="S260" s="20"/>
      <c r="T260" s="21" t="s">
        <v>255</v>
      </c>
    </row>
    <row r="261" spans="1:20" ht="15.75" x14ac:dyDescent="0.25">
      <c r="A261" s="11">
        <f>[1]Лист4!A186</f>
        <v>8</v>
      </c>
      <c r="B261" s="12" t="str">
        <f>[1]Лист4!C186</f>
        <v>Скабиоза черная</v>
      </c>
      <c r="C261" s="13">
        <f>[1]Лист4!D186</f>
        <v>60</v>
      </c>
      <c r="D261" s="14">
        <f>[1]Лист4!F186</f>
        <v>0.79</v>
      </c>
      <c r="E261" s="15">
        <f t="shared" si="60"/>
        <v>47.400000000000006</v>
      </c>
      <c r="F261" s="15">
        <f t="shared" si="61"/>
        <v>6.5254000000000006E-2</v>
      </c>
      <c r="G261" s="16">
        <f t="shared" si="59"/>
        <v>1.53</v>
      </c>
      <c r="H261" s="16">
        <f t="shared" si="62"/>
        <v>4.54</v>
      </c>
      <c r="I261" s="16">
        <f t="shared" si="63"/>
        <v>5.24</v>
      </c>
      <c r="J261" s="16">
        <f t="shared" si="64"/>
        <v>4.5</v>
      </c>
      <c r="K261" s="16">
        <f t="shared" si="65"/>
        <v>6.0989999999999993</v>
      </c>
      <c r="L261" s="17">
        <v>2.25</v>
      </c>
      <c r="M261" s="16">
        <f t="shared" si="66"/>
        <v>1.98</v>
      </c>
      <c r="N261" s="17">
        <f t="shared" si="67"/>
        <v>6.42</v>
      </c>
      <c r="O261" s="17">
        <f t="shared" si="68"/>
        <v>5.6499999999999995</v>
      </c>
      <c r="P261" s="18">
        <f t="shared" si="69"/>
        <v>91.8</v>
      </c>
      <c r="Q261" s="19">
        <f t="shared" si="70"/>
        <v>135</v>
      </c>
      <c r="R261" s="19">
        <f t="shared" si="71"/>
        <v>43.2</v>
      </c>
      <c r="S261" s="20"/>
      <c r="T261" s="21" t="s">
        <v>256</v>
      </c>
    </row>
    <row r="262" spans="1:20" ht="15.75" x14ac:dyDescent="0.25">
      <c r="A262" s="11">
        <f>[1]Лист4!A189</f>
        <v>8</v>
      </c>
      <c r="B262" s="12" t="str">
        <f>[1]Лист4!C189</f>
        <v>Солидаго</v>
      </c>
      <c r="C262" s="13">
        <f>[1]Лист4!D189</f>
        <v>50</v>
      </c>
      <c r="D262" s="14">
        <f>[1]Лист4!F189</f>
        <v>0.49</v>
      </c>
      <c r="E262" s="15">
        <f t="shared" si="60"/>
        <v>24.5</v>
      </c>
      <c r="F262" s="15">
        <f t="shared" si="61"/>
        <v>4.0473999999999996E-2</v>
      </c>
      <c r="G262" s="16">
        <f t="shared" si="59"/>
        <v>1.01</v>
      </c>
      <c r="H262" s="16">
        <f t="shared" si="62"/>
        <v>3</v>
      </c>
      <c r="I262" s="16">
        <f t="shared" si="63"/>
        <v>3.46</v>
      </c>
      <c r="J262" s="16">
        <f t="shared" si="64"/>
        <v>2.9699999999999998</v>
      </c>
      <c r="K262" s="16">
        <f t="shared" si="65"/>
        <v>4.2464999999999993</v>
      </c>
      <c r="L262" s="17">
        <f t="shared" ref="L262:L273" si="72">G262*1.55</f>
        <v>1.5655000000000001</v>
      </c>
      <c r="M262" s="16">
        <f t="shared" si="66"/>
        <v>1.3800000000000001</v>
      </c>
      <c r="N262" s="17">
        <f t="shared" si="67"/>
        <v>4.47</v>
      </c>
      <c r="O262" s="17">
        <f t="shared" si="68"/>
        <v>3.94</v>
      </c>
      <c r="P262" s="18">
        <f t="shared" si="69"/>
        <v>50.5</v>
      </c>
      <c r="Q262" s="19">
        <f t="shared" si="70"/>
        <v>78.275000000000006</v>
      </c>
      <c r="R262" s="19">
        <f t="shared" si="71"/>
        <v>27.775000000000006</v>
      </c>
      <c r="S262" s="20"/>
      <c r="T262" s="21" t="s">
        <v>257</v>
      </c>
    </row>
    <row r="263" spans="1:20" ht="15.75" x14ac:dyDescent="0.25">
      <c r="A263" s="11">
        <f>[1]Лист4!A190</f>
        <v>8</v>
      </c>
      <c r="B263" s="12" t="str">
        <f>[1]Лист4!C190</f>
        <v>Стрелиция</v>
      </c>
      <c r="C263" s="13">
        <f>[1]Лист4!D190</f>
        <v>12</v>
      </c>
      <c r="D263" s="14">
        <f>[1]Лист4!F190</f>
        <v>1.67</v>
      </c>
      <c r="E263" s="15">
        <f t="shared" si="60"/>
        <v>20.04</v>
      </c>
      <c r="F263" s="15">
        <f t="shared" si="61"/>
        <v>0.13794200000000001</v>
      </c>
      <c r="G263" s="16">
        <f t="shared" si="59"/>
        <v>3.05</v>
      </c>
      <c r="H263" s="16">
        <f t="shared" si="62"/>
        <v>9.0499999999999989</v>
      </c>
      <c r="I263" s="16">
        <f t="shared" si="63"/>
        <v>10.44</v>
      </c>
      <c r="J263" s="16">
        <f t="shared" si="64"/>
        <v>8.9599999999999991</v>
      </c>
      <c r="K263" s="16">
        <f t="shared" si="65"/>
        <v>12.805999999999999</v>
      </c>
      <c r="L263" s="17">
        <f t="shared" si="72"/>
        <v>4.7275</v>
      </c>
      <c r="M263" s="16">
        <f t="shared" si="66"/>
        <v>4.17</v>
      </c>
      <c r="N263" s="17">
        <f t="shared" si="67"/>
        <v>13.48</v>
      </c>
      <c r="O263" s="17">
        <f t="shared" si="68"/>
        <v>11.87</v>
      </c>
      <c r="P263" s="18">
        <f t="shared" si="69"/>
        <v>36.599999999999994</v>
      </c>
      <c r="Q263" s="19">
        <f t="shared" si="70"/>
        <v>56.730000000000004</v>
      </c>
      <c r="R263" s="19">
        <f t="shared" si="71"/>
        <v>20.13000000000001</v>
      </c>
      <c r="S263" s="20"/>
      <c r="T263" s="21" t="s">
        <v>258</v>
      </c>
    </row>
    <row r="264" spans="1:20" ht="15.75" x14ac:dyDescent="0.25">
      <c r="A264" s="11">
        <f>[1]Лист4!A191</f>
        <v>8</v>
      </c>
      <c r="B264" s="12" t="str">
        <f>[1]Лист4!C191</f>
        <v>Танацетум</v>
      </c>
      <c r="C264" s="13">
        <f>[1]Лист4!D191</f>
        <v>1200</v>
      </c>
      <c r="D264" s="14">
        <f>[1]Лист4!F191</f>
        <v>0.48</v>
      </c>
      <c r="E264" s="15">
        <f t="shared" si="60"/>
        <v>576</v>
      </c>
      <c r="F264" s="15">
        <f t="shared" si="61"/>
        <v>3.9647999999999996E-2</v>
      </c>
      <c r="G264" s="16">
        <f t="shared" si="59"/>
        <v>1</v>
      </c>
      <c r="H264" s="16">
        <f t="shared" si="62"/>
        <v>2.9699999999999998</v>
      </c>
      <c r="I264" s="16">
        <f t="shared" si="63"/>
        <v>3.42</v>
      </c>
      <c r="J264" s="16">
        <f t="shared" si="64"/>
        <v>2.94</v>
      </c>
      <c r="K264" s="16">
        <f t="shared" si="65"/>
        <v>4.1989999999999998</v>
      </c>
      <c r="L264" s="17">
        <f t="shared" si="72"/>
        <v>1.55</v>
      </c>
      <c r="M264" s="16">
        <f t="shared" si="66"/>
        <v>1.37</v>
      </c>
      <c r="N264" s="17">
        <f t="shared" si="67"/>
        <v>4.42</v>
      </c>
      <c r="O264" s="17">
        <f t="shared" si="68"/>
        <v>3.8899999999999997</v>
      </c>
      <c r="P264" s="18">
        <f t="shared" si="69"/>
        <v>1200</v>
      </c>
      <c r="Q264" s="19">
        <f t="shared" si="70"/>
        <v>1860</v>
      </c>
      <c r="R264" s="19">
        <f t="shared" si="71"/>
        <v>660</v>
      </c>
      <c r="S264" s="20"/>
      <c r="T264" s="21" t="s">
        <v>85</v>
      </c>
    </row>
    <row r="265" spans="1:20" ht="15.75" x14ac:dyDescent="0.25">
      <c r="A265" s="11">
        <f>[1]Лист4!A192</f>
        <v>8</v>
      </c>
      <c r="B265" s="12" t="str">
        <f>[1]Лист4!C192</f>
        <v>Тюльпан белый</v>
      </c>
      <c r="C265" s="13">
        <f>[1]Лист4!D192</f>
        <v>50</v>
      </c>
      <c r="D265" s="14">
        <f>[1]Лист4!F192</f>
        <v>0.68</v>
      </c>
      <c r="E265" s="15">
        <f t="shared" si="60"/>
        <v>34</v>
      </c>
      <c r="F265" s="15">
        <f t="shared" si="61"/>
        <v>5.6168000000000003E-2</v>
      </c>
      <c r="G265" s="16">
        <f t="shared" si="59"/>
        <v>1.34</v>
      </c>
      <c r="H265" s="16">
        <f t="shared" si="62"/>
        <v>3.98</v>
      </c>
      <c r="I265" s="16">
        <f t="shared" si="63"/>
        <v>4.59</v>
      </c>
      <c r="J265" s="16">
        <f t="shared" si="64"/>
        <v>3.94</v>
      </c>
      <c r="K265" s="16">
        <f t="shared" si="65"/>
        <v>5.6239999999999997</v>
      </c>
      <c r="L265" s="17">
        <f t="shared" si="72"/>
        <v>2.0770000000000004</v>
      </c>
      <c r="M265" s="16">
        <f t="shared" si="66"/>
        <v>1.83</v>
      </c>
      <c r="N265" s="17">
        <f t="shared" si="67"/>
        <v>5.92</v>
      </c>
      <c r="O265" s="17">
        <f t="shared" si="68"/>
        <v>5.21</v>
      </c>
      <c r="P265" s="18">
        <f t="shared" si="69"/>
        <v>67</v>
      </c>
      <c r="Q265" s="19">
        <f t="shared" si="70"/>
        <v>103.85000000000002</v>
      </c>
      <c r="R265" s="19">
        <f t="shared" si="71"/>
        <v>36.850000000000023</v>
      </c>
      <c r="S265" s="20"/>
      <c r="T265" s="21" t="s">
        <v>259</v>
      </c>
    </row>
    <row r="266" spans="1:20" ht="15.75" x14ac:dyDescent="0.25">
      <c r="A266" s="11">
        <f>[1]Лист4!A180</f>
        <v>8</v>
      </c>
      <c r="B266" s="12" t="str">
        <f>[1]Лист4!C180</f>
        <v>Фалеонопсис белый</v>
      </c>
      <c r="C266" s="13">
        <f>[1]Лист4!D180</f>
        <v>50</v>
      </c>
      <c r="D266" s="14">
        <f>[1]Лист4!F180</f>
        <v>0.62</v>
      </c>
      <c r="E266" s="15">
        <f t="shared" si="60"/>
        <v>31</v>
      </c>
      <c r="F266" s="15">
        <f t="shared" si="61"/>
        <v>5.1212000000000001E-2</v>
      </c>
      <c r="G266" s="16">
        <f t="shared" si="59"/>
        <v>1.24</v>
      </c>
      <c r="H266" s="16">
        <f t="shared" si="62"/>
        <v>3.6799999999999997</v>
      </c>
      <c r="I266" s="16">
        <f t="shared" si="63"/>
        <v>4.25</v>
      </c>
      <c r="J266" s="16">
        <f t="shared" si="64"/>
        <v>3.65</v>
      </c>
      <c r="K266" s="16">
        <f t="shared" si="65"/>
        <v>5.2059999999999995</v>
      </c>
      <c r="L266" s="17">
        <f t="shared" si="72"/>
        <v>1.9219999999999999</v>
      </c>
      <c r="M266" s="16">
        <f t="shared" si="66"/>
        <v>1.7</v>
      </c>
      <c r="N266" s="17">
        <f t="shared" si="67"/>
        <v>5.4799999999999995</v>
      </c>
      <c r="O266" s="17">
        <f t="shared" si="68"/>
        <v>4.83</v>
      </c>
      <c r="P266" s="18">
        <f t="shared" si="69"/>
        <v>62</v>
      </c>
      <c r="Q266" s="19">
        <f t="shared" si="70"/>
        <v>96.1</v>
      </c>
      <c r="R266" s="19">
        <f t="shared" si="71"/>
        <v>34.099999999999994</v>
      </c>
      <c r="S266" s="20"/>
      <c r="T266" s="21" t="s">
        <v>260</v>
      </c>
    </row>
    <row r="267" spans="1:20" ht="15.75" x14ac:dyDescent="0.25">
      <c r="A267" s="11">
        <f>[1]Лист4!A121</f>
        <v>8</v>
      </c>
      <c r="B267" s="12" t="str">
        <f>[1]Лист4!C121</f>
        <v>Фрезия белая</v>
      </c>
      <c r="C267" s="13">
        <f>[1]Лист4!D121</f>
        <v>250</v>
      </c>
      <c r="D267" s="14">
        <f>[1]Лист4!F121</f>
        <v>0.38</v>
      </c>
      <c r="E267" s="15">
        <f t="shared" si="60"/>
        <v>95</v>
      </c>
      <c r="F267" s="15">
        <f t="shared" si="61"/>
        <v>3.1387999999999999E-2</v>
      </c>
      <c r="G267" s="16">
        <f t="shared" si="59"/>
        <v>0.82</v>
      </c>
      <c r="H267" s="16">
        <f t="shared" si="62"/>
        <v>2.44</v>
      </c>
      <c r="I267" s="16">
        <f t="shared" si="63"/>
        <v>2.8099999999999996</v>
      </c>
      <c r="J267" s="16">
        <f t="shared" si="64"/>
        <v>2.4099999999999997</v>
      </c>
      <c r="K267" s="16">
        <f t="shared" si="65"/>
        <v>3.4484999999999997</v>
      </c>
      <c r="L267" s="17">
        <f t="shared" si="72"/>
        <v>1.2709999999999999</v>
      </c>
      <c r="M267" s="16">
        <f t="shared" si="66"/>
        <v>1.1200000000000001</v>
      </c>
      <c r="N267" s="17">
        <f t="shared" si="67"/>
        <v>3.63</v>
      </c>
      <c r="O267" s="17">
        <f t="shared" si="68"/>
        <v>3.1999999999999997</v>
      </c>
      <c r="P267" s="18">
        <f t="shared" si="69"/>
        <v>205</v>
      </c>
      <c r="Q267" s="19">
        <f t="shared" si="70"/>
        <v>317.75</v>
      </c>
      <c r="R267" s="19">
        <f t="shared" si="71"/>
        <v>112.75</v>
      </c>
      <c r="S267" s="20"/>
      <c r="T267" s="21" t="s">
        <v>261</v>
      </c>
    </row>
    <row r="268" spans="1:20" ht="15.75" x14ac:dyDescent="0.25">
      <c r="A268" s="11">
        <f>[1]Лист4!A120</f>
        <v>8</v>
      </c>
      <c r="B268" s="12" t="str">
        <f>[1]Лист4!C120</f>
        <v>Фрезия микс</v>
      </c>
      <c r="C268" s="13">
        <f>[1]Лист4!D120</f>
        <v>100</v>
      </c>
      <c r="D268" s="14">
        <f>[1]Лист4!F120</f>
        <v>0.54</v>
      </c>
      <c r="E268" s="15">
        <f t="shared" si="60"/>
        <v>54</v>
      </c>
      <c r="F268" s="15">
        <f t="shared" si="61"/>
        <v>4.4604000000000005E-2</v>
      </c>
      <c r="G268" s="16">
        <f t="shared" si="59"/>
        <v>1.1000000000000001</v>
      </c>
      <c r="H268" s="16">
        <f t="shared" si="62"/>
        <v>3.2699999999999996</v>
      </c>
      <c r="I268" s="16">
        <f t="shared" si="63"/>
        <v>3.7699999999999996</v>
      </c>
      <c r="J268" s="16">
        <f t="shared" si="64"/>
        <v>3.23</v>
      </c>
      <c r="K268" s="16">
        <f t="shared" si="65"/>
        <v>4.6169999999999991</v>
      </c>
      <c r="L268" s="17">
        <f t="shared" si="72"/>
        <v>1.7050000000000003</v>
      </c>
      <c r="M268" s="16">
        <f t="shared" si="66"/>
        <v>1.51</v>
      </c>
      <c r="N268" s="17">
        <f t="shared" si="67"/>
        <v>4.8599999999999994</v>
      </c>
      <c r="O268" s="17">
        <f t="shared" si="68"/>
        <v>4.2799999999999994</v>
      </c>
      <c r="P268" s="18">
        <f t="shared" si="69"/>
        <v>110.00000000000001</v>
      </c>
      <c r="Q268" s="19">
        <f t="shared" si="70"/>
        <v>170.50000000000003</v>
      </c>
      <c r="R268" s="19">
        <f t="shared" si="71"/>
        <v>60.500000000000014</v>
      </c>
      <c r="S268" s="20"/>
      <c r="T268" s="21" t="s">
        <v>262</v>
      </c>
    </row>
    <row r="269" spans="1:20" ht="15.75" x14ac:dyDescent="0.25">
      <c r="A269" s="11">
        <f>[1]Лист4!A91</f>
        <v>8</v>
      </c>
      <c r="B269" s="12" t="str">
        <f>[1]Лист4!C91</f>
        <v>Хамелациум белый</v>
      </c>
      <c r="C269" s="13">
        <f>[1]Лист4!D91</f>
        <v>75</v>
      </c>
      <c r="D269" s="14">
        <f>[1]Лист4!F91</f>
        <v>0.77</v>
      </c>
      <c r="E269" s="15">
        <f t="shared" si="60"/>
        <v>57.75</v>
      </c>
      <c r="F269" s="15">
        <f t="shared" si="61"/>
        <v>6.3602000000000006E-2</v>
      </c>
      <c r="G269" s="16">
        <f t="shared" si="59"/>
        <v>1.5</v>
      </c>
      <c r="H269" s="16">
        <f t="shared" si="62"/>
        <v>4.45</v>
      </c>
      <c r="I269" s="16">
        <f t="shared" si="63"/>
        <v>5.13</v>
      </c>
      <c r="J269" s="16">
        <f t="shared" si="64"/>
        <v>4.41</v>
      </c>
      <c r="K269" s="16">
        <f t="shared" si="65"/>
        <v>6.2984999999999998</v>
      </c>
      <c r="L269" s="17">
        <f t="shared" si="72"/>
        <v>2.3250000000000002</v>
      </c>
      <c r="M269" s="16">
        <f t="shared" si="66"/>
        <v>2.0499999999999998</v>
      </c>
      <c r="N269" s="17">
        <f t="shared" si="67"/>
        <v>6.63</v>
      </c>
      <c r="O269" s="17">
        <f t="shared" si="68"/>
        <v>5.84</v>
      </c>
      <c r="P269" s="18">
        <f t="shared" si="69"/>
        <v>112.5</v>
      </c>
      <c r="Q269" s="19">
        <f t="shared" si="70"/>
        <v>174.375</v>
      </c>
      <c r="R269" s="19">
        <f t="shared" si="71"/>
        <v>61.875</v>
      </c>
      <c r="S269" s="20"/>
      <c r="T269" s="21" t="s">
        <v>25</v>
      </c>
    </row>
    <row r="270" spans="1:20" ht="15.75" x14ac:dyDescent="0.25">
      <c r="A270" s="11">
        <f>[1]Лист4!A93</f>
        <v>8</v>
      </c>
      <c r="B270" s="12" t="str">
        <f>[1]Лист4!C93</f>
        <v>Хамелациум Май Свит</v>
      </c>
      <c r="C270" s="13">
        <f>[1]Лист4!D93</f>
        <v>50</v>
      </c>
      <c r="D270" s="14">
        <f>[1]Лист4!F93</f>
        <v>0.61</v>
      </c>
      <c r="E270" s="15">
        <f t="shared" si="60"/>
        <v>30.5</v>
      </c>
      <c r="F270" s="15">
        <f t="shared" si="61"/>
        <v>5.0386000000000007E-2</v>
      </c>
      <c r="G270" s="16">
        <f t="shared" si="59"/>
        <v>1.22</v>
      </c>
      <c r="H270" s="16">
        <f t="shared" si="62"/>
        <v>3.6199999999999997</v>
      </c>
      <c r="I270" s="16">
        <f t="shared" si="63"/>
        <v>4.18</v>
      </c>
      <c r="J270" s="16">
        <f t="shared" si="64"/>
        <v>3.59</v>
      </c>
      <c r="K270" s="16">
        <f t="shared" si="65"/>
        <v>5.1204999999999998</v>
      </c>
      <c r="L270" s="17">
        <f t="shared" si="72"/>
        <v>1.891</v>
      </c>
      <c r="M270" s="16">
        <f t="shared" si="66"/>
        <v>1.67</v>
      </c>
      <c r="N270" s="17">
        <f t="shared" si="67"/>
        <v>5.39</v>
      </c>
      <c r="O270" s="17">
        <f t="shared" si="68"/>
        <v>4.75</v>
      </c>
      <c r="P270" s="18">
        <f t="shared" si="69"/>
        <v>61</v>
      </c>
      <c r="Q270" s="19">
        <f t="shared" si="70"/>
        <v>94.55</v>
      </c>
      <c r="R270" s="19">
        <f t="shared" si="71"/>
        <v>33.549999999999997</v>
      </c>
      <c r="S270" s="20"/>
      <c r="T270" s="21" t="s">
        <v>263</v>
      </c>
    </row>
    <row r="271" spans="1:20" ht="15.75" x14ac:dyDescent="0.25">
      <c r="A271" s="11">
        <f>[1]Лист4!A90</f>
        <v>8</v>
      </c>
      <c r="B271" s="12" t="str">
        <f>[1]Лист4!C90</f>
        <v>Хамелациум розовый</v>
      </c>
      <c r="C271" s="13">
        <f>[1]Лист4!D90</f>
        <v>75</v>
      </c>
      <c r="D271" s="14">
        <f>[1]Лист4!F90</f>
        <v>0.91</v>
      </c>
      <c r="E271" s="15">
        <f t="shared" si="60"/>
        <v>68.25</v>
      </c>
      <c r="F271" s="15">
        <f t="shared" si="61"/>
        <v>7.5166000000000011E-2</v>
      </c>
      <c r="G271" s="16">
        <f t="shared" si="59"/>
        <v>1.74</v>
      </c>
      <c r="H271" s="16">
        <f t="shared" si="62"/>
        <v>5.16</v>
      </c>
      <c r="I271" s="16">
        <f t="shared" si="63"/>
        <v>5.96</v>
      </c>
      <c r="J271" s="16">
        <f t="shared" si="64"/>
        <v>5.1099999999999994</v>
      </c>
      <c r="K271" s="16">
        <f t="shared" si="65"/>
        <v>7.3054999999999994</v>
      </c>
      <c r="L271" s="17">
        <f t="shared" si="72"/>
        <v>2.6970000000000001</v>
      </c>
      <c r="M271" s="16">
        <f t="shared" si="66"/>
        <v>2.38</v>
      </c>
      <c r="N271" s="17">
        <f t="shared" si="67"/>
        <v>7.6899999999999995</v>
      </c>
      <c r="O271" s="17">
        <f t="shared" si="68"/>
        <v>6.77</v>
      </c>
      <c r="P271" s="18">
        <f t="shared" si="69"/>
        <v>130.5</v>
      </c>
      <c r="Q271" s="19">
        <f t="shared" si="70"/>
        <v>202.27500000000001</v>
      </c>
      <c r="R271" s="19">
        <f t="shared" si="71"/>
        <v>71.775000000000006</v>
      </c>
      <c r="S271" s="20"/>
      <c r="T271" s="21" t="s">
        <v>264</v>
      </c>
    </row>
    <row r="272" spans="1:20" ht="15.75" x14ac:dyDescent="0.25">
      <c r="A272" s="11">
        <f>[1]Лист4!A134</f>
        <v>8</v>
      </c>
      <c r="B272" s="12" t="str">
        <f>[1]Лист4!C134</f>
        <v>Хелеборус белый</v>
      </c>
      <c r="C272" s="13">
        <f>[1]Лист4!D134</f>
        <v>20</v>
      </c>
      <c r="D272" s="14">
        <f>[1]Лист4!F134</f>
        <v>1.1499999999999999</v>
      </c>
      <c r="E272" s="15">
        <f t="shared" si="60"/>
        <v>23</v>
      </c>
      <c r="F272" s="15">
        <f t="shared" si="61"/>
        <v>9.4989999999999991E-2</v>
      </c>
      <c r="G272" s="16">
        <f t="shared" si="59"/>
        <v>2.15</v>
      </c>
      <c r="H272" s="16">
        <f t="shared" si="62"/>
        <v>6.38</v>
      </c>
      <c r="I272" s="16">
        <f t="shared" si="63"/>
        <v>7.3599999999999994</v>
      </c>
      <c r="J272" s="16">
        <f t="shared" si="64"/>
        <v>6.3199999999999994</v>
      </c>
      <c r="K272" s="16">
        <f t="shared" si="65"/>
        <v>9.0250000000000004</v>
      </c>
      <c r="L272" s="17">
        <f t="shared" si="72"/>
        <v>3.3325</v>
      </c>
      <c r="M272" s="16">
        <f t="shared" si="66"/>
        <v>2.94</v>
      </c>
      <c r="N272" s="17">
        <f t="shared" si="67"/>
        <v>9.5</v>
      </c>
      <c r="O272" s="17">
        <f t="shared" si="68"/>
        <v>8.36</v>
      </c>
      <c r="P272" s="18">
        <f t="shared" si="69"/>
        <v>43</v>
      </c>
      <c r="Q272" s="19">
        <f t="shared" si="70"/>
        <v>66.650000000000006</v>
      </c>
      <c r="R272" s="19">
        <f t="shared" si="71"/>
        <v>23.650000000000006</v>
      </c>
      <c r="S272" s="20"/>
      <c r="T272" s="21" t="s">
        <v>265</v>
      </c>
    </row>
    <row r="273" spans="1:20" ht="15.75" x14ac:dyDescent="0.25">
      <c r="A273" s="11">
        <f>[1]Лист4!A102</f>
        <v>8</v>
      </c>
      <c r="B273" s="12" t="str">
        <f>[1]Лист4!C102</f>
        <v>Эрингиум супернова</v>
      </c>
      <c r="C273" s="13">
        <f>[1]Лист4!D102</f>
        <v>150</v>
      </c>
      <c r="D273" s="14">
        <f>[1]Лист4!F102</f>
        <v>0.7</v>
      </c>
      <c r="E273" s="15">
        <f t="shared" si="60"/>
        <v>105</v>
      </c>
      <c r="F273" s="15">
        <f t="shared" si="61"/>
        <v>5.7820000000000003E-2</v>
      </c>
      <c r="G273" s="16">
        <f t="shared" si="59"/>
        <v>1.38</v>
      </c>
      <c r="H273" s="16">
        <f t="shared" si="62"/>
        <v>4.0999999999999996</v>
      </c>
      <c r="I273" s="16">
        <f t="shared" si="63"/>
        <v>4.72</v>
      </c>
      <c r="J273" s="16">
        <f t="shared" si="64"/>
        <v>4.0599999999999996</v>
      </c>
      <c r="K273" s="16">
        <f t="shared" si="65"/>
        <v>5.794999999999999</v>
      </c>
      <c r="L273" s="17">
        <f t="shared" si="72"/>
        <v>2.1389999999999998</v>
      </c>
      <c r="M273" s="16">
        <f t="shared" si="66"/>
        <v>1.89</v>
      </c>
      <c r="N273" s="17">
        <f t="shared" si="67"/>
        <v>6.1</v>
      </c>
      <c r="O273" s="17">
        <f t="shared" si="68"/>
        <v>5.37</v>
      </c>
      <c r="P273" s="18">
        <f t="shared" si="69"/>
        <v>206.99999999999997</v>
      </c>
      <c r="Q273" s="19">
        <f t="shared" si="70"/>
        <v>320.84999999999997</v>
      </c>
      <c r="R273" s="19">
        <f t="shared" si="71"/>
        <v>113.85</v>
      </c>
      <c r="S273" s="20"/>
      <c r="T273" s="21" t="s">
        <v>266</v>
      </c>
    </row>
    <row r="274" spans="1:20" ht="15.75" x14ac:dyDescent="0.25">
      <c r="A274" s="11">
        <f>[1]Лист4!A107</f>
        <v>8</v>
      </c>
      <c r="B274" s="12" t="str">
        <f>[1]Лист4!C107</f>
        <v>Эустома Алиса белая</v>
      </c>
      <c r="C274" s="13">
        <f>[1]Лист4!D107</f>
        <v>440</v>
      </c>
      <c r="D274" s="14">
        <f>[1]Лист4!F107</f>
        <v>1.18</v>
      </c>
      <c r="E274" s="15">
        <f t="shared" si="60"/>
        <v>519.19999999999993</v>
      </c>
      <c r="F274" s="15">
        <f t="shared" si="61"/>
        <v>9.7467999999999999E-2</v>
      </c>
      <c r="G274" s="16">
        <f t="shared" si="59"/>
        <v>2.21</v>
      </c>
      <c r="H274" s="16">
        <f t="shared" si="62"/>
        <v>6.56</v>
      </c>
      <c r="I274" s="16">
        <f t="shared" si="63"/>
        <v>7.56</v>
      </c>
      <c r="J274" s="16">
        <f t="shared" si="64"/>
        <v>6.49</v>
      </c>
      <c r="K274" s="16">
        <f t="shared" si="65"/>
        <v>8.9394999999999989</v>
      </c>
      <c r="L274" s="17">
        <v>3.3</v>
      </c>
      <c r="M274" s="16">
        <f t="shared" si="66"/>
        <v>2.9099999999999997</v>
      </c>
      <c r="N274" s="17">
        <f t="shared" si="67"/>
        <v>9.41</v>
      </c>
      <c r="O274" s="17">
        <f t="shared" si="68"/>
        <v>8.2899999999999991</v>
      </c>
      <c r="P274" s="18">
        <f t="shared" si="69"/>
        <v>972.4</v>
      </c>
      <c r="Q274" s="19">
        <f t="shared" si="70"/>
        <v>1452</v>
      </c>
      <c r="R274" s="19">
        <f t="shared" si="71"/>
        <v>479.6</v>
      </c>
      <c r="S274" s="20"/>
      <c r="T274" s="21" t="s">
        <v>267</v>
      </c>
    </row>
    <row r="275" spans="1:20" ht="15.75" x14ac:dyDescent="0.25">
      <c r="A275" s="11">
        <f>[1]Лист4!A106</f>
        <v>8</v>
      </c>
      <c r="B275" s="12" t="str">
        <f>[1]Лист4!C106</f>
        <v>Эустома Алиса белая БИГ САН</v>
      </c>
      <c r="C275" s="13">
        <f>[1]Лист4!D106</f>
        <v>80</v>
      </c>
      <c r="D275" s="14">
        <f>[1]Лист4!F106</f>
        <v>1.29</v>
      </c>
      <c r="E275" s="15">
        <f t="shared" si="60"/>
        <v>103.2</v>
      </c>
      <c r="F275" s="15">
        <f t="shared" si="61"/>
        <v>0.10655400000000001</v>
      </c>
      <c r="G275" s="16">
        <f t="shared" si="59"/>
        <v>2.4</v>
      </c>
      <c r="H275" s="16">
        <f t="shared" si="62"/>
        <v>7.12</v>
      </c>
      <c r="I275" s="16">
        <f t="shared" si="63"/>
        <v>8.2099999999999991</v>
      </c>
      <c r="J275" s="16">
        <f t="shared" si="64"/>
        <v>7.05</v>
      </c>
      <c r="K275" s="16">
        <f t="shared" si="65"/>
        <v>9.4809999999999999</v>
      </c>
      <c r="L275" s="17">
        <v>3.5</v>
      </c>
      <c r="M275" s="16">
        <f t="shared" si="66"/>
        <v>3.08</v>
      </c>
      <c r="N275" s="17">
        <f t="shared" si="67"/>
        <v>9.98</v>
      </c>
      <c r="O275" s="17">
        <f t="shared" si="68"/>
        <v>8.7899999999999991</v>
      </c>
      <c r="P275" s="18">
        <f t="shared" si="69"/>
        <v>192</v>
      </c>
      <c r="Q275" s="19">
        <f t="shared" si="70"/>
        <v>280</v>
      </c>
      <c r="R275" s="19">
        <f t="shared" si="71"/>
        <v>88</v>
      </c>
      <c r="S275" s="20"/>
      <c r="T275" s="21" t="s">
        <v>267</v>
      </c>
    </row>
    <row r="276" spans="1:20" ht="15.75" x14ac:dyDescent="0.25">
      <c r="A276" s="11">
        <f>[1]Лист4!A108</f>
        <v>8</v>
      </c>
      <c r="B276" s="12" t="str">
        <f>[1]Лист4!C108</f>
        <v>Эустома Алиса желтая</v>
      </c>
      <c r="C276" s="13">
        <f>[1]Лист4!D108</f>
        <v>50</v>
      </c>
      <c r="D276" s="14">
        <f>[1]Лист4!F108</f>
        <v>1.3</v>
      </c>
      <c r="E276" s="15">
        <f t="shared" si="60"/>
        <v>65</v>
      </c>
      <c r="F276" s="15">
        <f t="shared" si="61"/>
        <v>0.10738000000000002</v>
      </c>
      <c r="G276" s="16">
        <f t="shared" si="59"/>
        <v>2.41</v>
      </c>
      <c r="H276" s="16">
        <f t="shared" si="62"/>
        <v>7.1499999999999995</v>
      </c>
      <c r="I276" s="16">
        <f t="shared" si="63"/>
        <v>8.25</v>
      </c>
      <c r="J276" s="16">
        <f t="shared" si="64"/>
        <v>7.08</v>
      </c>
      <c r="K276" s="16">
        <f t="shared" si="65"/>
        <v>9.4809999999999999</v>
      </c>
      <c r="L276" s="17">
        <v>3.5</v>
      </c>
      <c r="M276" s="16">
        <f t="shared" si="66"/>
        <v>3.08</v>
      </c>
      <c r="N276" s="17">
        <f t="shared" si="67"/>
        <v>9.98</v>
      </c>
      <c r="O276" s="17">
        <f t="shared" si="68"/>
        <v>8.7899999999999991</v>
      </c>
      <c r="P276" s="18">
        <f t="shared" si="69"/>
        <v>120.5</v>
      </c>
      <c r="Q276" s="19">
        <f t="shared" si="70"/>
        <v>175</v>
      </c>
      <c r="R276" s="19">
        <f t="shared" si="71"/>
        <v>54.5</v>
      </c>
      <c r="S276" s="20"/>
      <c r="T276" s="21" t="s">
        <v>268</v>
      </c>
    </row>
    <row r="277" spans="1:20" ht="15.75" x14ac:dyDescent="0.25">
      <c r="A277" s="11">
        <f>[1]Лист4!A104</f>
        <v>8</v>
      </c>
      <c r="B277" s="12" t="str">
        <f>[1]Лист4!C104</f>
        <v>Эустома Алиса розовая</v>
      </c>
      <c r="C277" s="13">
        <f>[1]Лист4!D104</f>
        <v>160</v>
      </c>
      <c r="D277" s="14">
        <f>[1]Лист4!F104</f>
        <v>1.1299999999999999</v>
      </c>
      <c r="E277" s="15">
        <f t="shared" si="60"/>
        <v>180.79999999999998</v>
      </c>
      <c r="F277" s="15">
        <f t="shared" si="61"/>
        <v>9.333799999999999E-2</v>
      </c>
      <c r="G277" s="16">
        <f t="shared" si="59"/>
        <v>2.12</v>
      </c>
      <c r="H277" s="16">
        <f t="shared" si="62"/>
        <v>6.29</v>
      </c>
      <c r="I277" s="16">
        <f t="shared" si="63"/>
        <v>7.26</v>
      </c>
      <c r="J277" s="16">
        <f t="shared" si="64"/>
        <v>6.2299999999999995</v>
      </c>
      <c r="K277" s="16">
        <f t="shared" si="65"/>
        <v>8.9394999999999989</v>
      </c>
      <c r="L277" s="17">
        <v>3.3</v>
      </c>
      <c r="M277" s="16">
        <f t="shared" si="66"/>
        <v>2.9099999999999997</v>
      </c>
      <c r="N277" s="17">
        <f t="shared" si="67"/>
        <v>9.41</v>
      </c>
      <c r="O277" s="17">
        <f t="shared" si="68"/>
        <v>8.2899999999999991</v>
      </c>
      <c r="P277" s="18">
        <f t="shared" si="69"/>
        <v>339.20000000000005</v>
      </c>
      <c r="Q277" s="19">
        <f t="shared" si="70"/>
        <v>528</v>
      </c>
      <c r="R277" s="19">
        <f t="shared" si="71"/>
        <v>188.79999999999995</v>
      </c>
      <c r="S277" s="20"/>
      <c r="T277" s="21" t="s">
        <v>269</v>
      </c>
    </row>
    <row r="278" spans="1:20" ht="15.75" x14ac:dyDescent="0.25">
      <c r="A278" s="11">
        <f>[1]Лист4!A105</f>
        <v>8</v>
      </c>
      <c r="B278" s="12" t="str">
        <f>[1]Лист4!C105</f>
        <v>Эустома Алиса розовая БИГ САН</v>
      </c>
      <c r="C278" s="13">
        <f>[1]Лист4!D105</f>
        <v>80</v>
      </c>
      <c r="D278" s="14">
        <f>[1]Лист4!F105</f>
        <v>1.26</v>
      </c>
      <c r="E278" s="15">
        <f t="shared" si="60"/>
        <v>100.8</v>
      </c>
      <c r="F278" s="15">
        <f t="shared" si="61"/>
        <v>0.104076</v>
      </c>
      <c r="G278" s="16">
        <f t="shared" si="59"/>
        <v>2.34</v>
      </c>
      <c r="H278" s="16">
        <f t="shared" si="62"/>
        <v>6.9399999999999995</v>
      </c>
      <c r="I278" s="16">
        <f t="shared" si="63"/>
        <v>8.01</v>
      </c>
      <c r="J278" s="16">
        <f t="shared" si="64"/>
        <v>6.87</v>
      </c>
      <c r="K278" s="16">
        <f t="shared" si="65"/>
        <v>9.4809999999999999</v>
      </c>
      <c r="L278" s="17">
        <v>3.5</v>
      </c>
      <c r="M278" s="16">
        <f t="shared" si="66"/>
        <v>3.08</v>
      </c>
      <c r="N278" s="17">
        <f t="shared" si="67"/>
        <v>9.98</v>
      </c>
      <c r="O278" s="17">
        <f t="shared" si="68"/>
        <v>8.7899999999999991</v>
      </c>
      <c r="P278" s="18">
        <f t="shared" si="69"/>
        <v>187.2</v>
      </c>
      <c r="Q278" s="19">
        <f t="shared" si="70"/>
        <v>280</v>
      </c>
      <c r="R278" s="19">
        <f t="shared" si="71"/>
        <v>92.800000000000011</v>
      </c>
      <c r="S278" s="20"/>
      <c r="T278" s="21" t="s">
        <v>270</v>
      </c>
    </row>
    <row r="279" spans="1:20" ht="15.75" x14ac:dyDescent="0.25">
      <c r="A279" s="11">
        <f>[1]Лист4!A103</f>
        <v>8</v>
      </c>
      <c r="B279" s="12" t="str">
        <f>[1]Лист4!C103</f>
        <v>Эустома Алиса Шампань БИГ САН</v>
      </c>
      <c r="C279" s="13">
        <f>[1]Лист4!D103</f>
        <v>80</v>
      </c>
      <c r="D279" s="14">
        <f>[1]Лист4!F103</f>
        <v>1.3</v>
      </c>
      <c r="E279" s="15">
        <f t="shared" si="60"/>
        <v>104</v>
      </c>
      <c r="F279" s="15">
        <f t="shared" si="61"/>
        <v>0.10738000000000002</v>
      </c>
      <c r="G279" s="16">
        <f t="shared" si="59"/>
        <v>2.41</v>
      </c>
      <c r="H279" s="16">
        <f t="shared" si="62"/>
        <v>7.1499999999999995</v>
      </c>
      <c r="I279" s="16">
        <f t="shared" si="63"/>
        <v>8.25</v>
      </c>
      <c r="J279" s="16">
        <f t="shared" si="64"/>
        <v>7.08</v>
      </c>
      <c r="K279" s="16">
        <f t="shared" si="65"/>
        <v>9.4809999999999999</v>
      </c>
      <c r="L279" s="17">
        <v>3.5</v>
      </c>
      <c r="M279" s="16">
        <f t="shared" si="66"/>
        <v>3.08</v>
      </c>
      <c r="N279" s="17">
        <f t="shared" si="67"/>
        <v>9.98</v>
      </c>
      <c r="O279" s="17">
        <f t="shared" si="68"/>
        <v>8.7899999999999991</v>
      </c>
      <c r="P279" s="18">
        <f t="shared" si="69"/>
        <v>192.8</v>
      </c>
      <c r="Q279" s="19">
        <f t="shared" si="70"/>
        <v>280</v>
      </c>
      <c r="R279" s="19">
        <f t="shared" si="71"/>
        <v>87.199999999999989</v>
      </c>
      <c r="S279" s="20"/>
      <c r="T279" s="21" t="s">
        <v>271</v>
      </c>
    </row>
    <row r="280" spans="1:20" ht="15.75" x14ac:dyDescent="0.25">
      <c r="A280" s="11">
        <f>[1]Лист4!A118</f>
        <v>8</v>
      </c>
      <c r="B280" s="12" t="str">
        <f>[1]Лист4!C118</f>
        <v>Эустома белая</v>
      </c>
      <c r="C280" s="13">
        <f>[1]Лист4!D118</f>
        <v>640</v>
      </c>
      <c r="D280" s="14">
        <f>[1]Лист4!F118</f>
        <v>1.04</v>
      </c>
      <c r="E280" s="15">
        <f t="shared" si="60"/>
        <v>665.6</v>
      </c>
      <c r="F280" s="15">
        <f t="shared" si="61"/>
        <v>8.5904000000000008E-2</v>
      </c>
      <c r="G280" s="16">
        <f t="shared" si="59"/>
        <v>1.96</v>
      </c>
      <c r="H280" s="16">
        <f t="shared" si="62"/>
        <v>5.81</v>
      </c>
      <c r="I280" s="16">
        <f t="shared" si="63"/>
        <v>6.71</v>
      </c>
      <c r="J280" s="16">
        <f t="shared" si="64"/>
        <v>5.76</v>
      </c>
      <c r="K280" s="16">
        <f t="shared" si="65"/>
        <v>7.8564999999999996</v>
      </c>
      <c r="L280" s="17">
        <v>2.9</v>
      </c>
      <c r="M280" s="16">
        <f t="shared" si="66"/>
        <v>2.5599999999999996</v>
      </c>
      <c r="N280" s="17">
        <f t="shared" si="67"/>
        <v>8.27</v>
      </c>
      <c r="O280" s="17">
        <f t="shared" si="68"/>
        <v>7.2799999999999994</v>
      </c>
      <c r="P280" s="18">
        <f t="shared" si="69"/>
        <v>1254.4000000000001</v>
      </c>
      <c r="Q280" s="19">
        <f t="shared" si="70"/>
        <v>1856</v>
      </c>
      <c r="R280" s="19">
        <f t="shared" si="71"/>
        <v>601.59999999999991</v>
      </c>
      <c r="S280" s="20"/>
      <c r="T280" s="21" t="s">
        <v>272</v>
      </c>
    </row>
    <row r="281" spans="1:20" ht="15.75" x14ac:dyDescent="0.25">
      <c r="A281" s="11">
        <f>[1]Лист4!A113</f>
        <v>8</v>
      </c>
      <c r="B281" s="12" t="str">
        <f>[1]Лист4!C113</f>
        <v>Эустома бело-розовая</v>
      </c>
      <c r="C281" s="13">
        <f>[1]Лист4!D113</f>
        <v>60</v>
      </c>
      <c r="D281" s="14">
        <f>[1]Лист4!F113</f>
        <v>1.01</v>
      </c>
      <c r="E281" s="15">
        <f t="shared" si="60"/>
        <v>60.6</v>
      </c>
      <c r="F281" s="15">
        <f t="shared" si="61"/>
        <v>8.3426E-2</v>
      </c>
      <c r="G281" s="16">
        <f t="shared" si="59"/>
        <v>1.91</v>
      </c>
      <c r="H281" s="16">
        <f t="shared" si="62"/>
        <v>5.67</v>
      </c>
      <c r="I281" s="16">
        <f t="shared" si="63"/>
        <v>6.54</v>
      </c>
      <c r="J281" s="16">
        <f t="shared" si="64"/>
        <v>5.6099999999999994</v>
      </c>
      <c r="K281" s="16">
        <f t="shared" si="65"/>
        <v>7.8564999999999996</v>
      </c>
      <c r="L281" s="17">
        <v>2.9</v>
      </c>
      <c r="M281" s="16">
        <f t="shared" si="66"/>
        <v>2.5599999999999996</v>
      </c>
      <c r="N281" s="17">
        <f t="shared" si="67"/>
        <v>8.27</v>
      </c>
      <c r="O281" s="17">
        <f t="shared" si="68"/>
        <v>7.2799999999999994</v>
      </c>
      <c r="P281" s="18">
        <f t="shared" si="69"/>
        <v>114.6</v>
      </c>
      <c r="Q281" s="19">
        <f t="shared" si="70"/>
        <v>174</v>
      </c>
      <c r="R281" s="19">
        <f t="shared" si="71"/>
        <v>59.400000000000006</v>
      </c>
      <c r="S281" s="20"/>
      <c r="T281" s="21" t="s">
        <v>273</v>
      </c>
    </row>
    <row r="282" spans="1:20" ht="15.75" x14ac:dyDescent="0.25">
      <c r="A282" s="11">
        <f>[1]Лист4!A117</f>
        <v>8</v>
      </c>
      <c r="B282" s="12" t="str">
        <f>[1]Лист4!C117</f>
        <v>Эустома бело-синяя</v>
      </c>
      <c r="C282" s="13">
        <f>[1]Лист4!D117</f>
        <v>40</v>
      </c>
      <c r="D282" s="14">
        <f>[1]Лист4!F117</f>
        <v>0.96</v>
      </c>
      <c r="E282" s="15">
        <f t="shared" si="60"/>
        <v>38.4</v>
      </c>
      <c r="F282" s="15">
        <f t="shared" si="61"/>
        <v>7.9295999999999991E-2</v>
      </c>
      <c r="G282" s="16">
        <f t="shared" si="59"/>
        <v>1.83</v>
      </c>
      <c r="H282" s="16">
        <f t="shared" si="62"/>
        <v>5.43</v>
      </c>
      <c r="I282" s="16">
        <f t="shared" si="63"/>
        <v>6.26</v>
      </c>
      <c r="J282" s="16">
        <f t="shared" si="64"/>
        <v>5.38</v>
      </c>
      <c r="K282" s="16">
        <f t="shared" si="65"/>
        <v>7.8564999999999996</v>
      </c>
      <c r="L282" s="17">
        <v>2.9</v>
      </c>
      <c r="M282" s="16">
        <f t="shared" si="66"/>
        <v>2.5599999999999996</v>
      </c>
      <c r="N282" s="17">
        <f t="shared" si="67"/>
        <v>8.27</v>
      </c>
      <c r="O282" s="17">
        <f t="shared" si="68"/>
        <v>7.2799999999999994</v>
      </c>
      <c r="P282" s="18">
        <f t="shared" si="69"/>
        <v>73.2</v>
      </c>
      <c r="Q282" s="19">
        <f t="shared" si="70"/>
        <v>116</v>
      </c>
      <c r="R282" s="19">
        <f t="shared" si="71"/>
        <v>42.8</v>
      </c>
      <c r="S282" s="20"/>
      <c r="T282" s="21" t="s">
        <v>274</v>
      </c>
    </row>
    <row r="283" spans="1:20" ht="15.75" x14ac:dyDescent="0.25">
      <c r="A283" s="11">
        <f>[1]Лист4!A111</f>
        <v>8</v>
      </c>
      <c r="B283" s="12" t="str">
        <f>[1]Лист4!C111</f>
        <v>Эустома Вейдинг Пинк</v>
      </c>
      <c r="C283" s="13">
        <f>[1]Лист4!D111</f>
        <v>50</v>
      </c>
      <c r="D283" s="14">
        <f>[1]Лист4!F111</f>
        <v>1.38</v>
      </c>
      <c r="E283" s="15">
        <f t="shared" si="60"/>
        <v>69</v>
      </c>
      <c r="F283" s="15">
        <f t="shared" si="61"/>
        <v>0.11398800000000001</v>
      </c>
      <c r="G283" s="16">
        <f t="shared" si="59"/>
        <v>2.5499999999999998</v>
      </c>
      <c r="H283" s="16">
        <f t="shared" si="62"/>
        <v>7.56</v>
      </c>
      <c r="I283" s="16">
        <f t="shared" si="63"/>
        <v>8.73</v>
      </c>
      <c r="J283" s="16">
        <f t="shared" si="64"/>
        <v>7.49</v>
      </c>
      <c r="K283" s="16">
        <f t="shared" si="65"/>
        <v>9.4809999999999999</v>
      </c>
      <c r="L283" s="17">
        <v>3.5</v>
      </c>
      <c r="M283" s="16">
        <f t="shared" si="66"/>
        <v>3.08</v>
      </c>
      <c r="N283" s="17">
        <f t="shared" si="67"/>
        <v>9.98</v>
      </c>
      <c r="O283" s="17">
        <f t="shared" si="68"/>
        <v>8.7899999999999991</v>
      </c>
      <c r="P283" s="18">
        <f t="shared" si="69"/>
        <v>127.49999999999999</v>
      </c>
      <c r="Q283" s="19">
        <f t="shared" si="70"/>
        <v>175</v>
      </c>
      <c r="R283" s="19">
        <f t="shared" si="71"/>
        <v>47.500000000000014</v>
      </c>
      <c r="S283" s="20"/>
      <c r="T283" s="21" t="s">
        <v>275</v>
      </c>
    </row>
    <row r="284" spans="1:20" ht="15.75" x14ac:dyDescent="0.25">
      <c r="A284" s="11">
        <f>[1]Лист4!A116</f>
        <v>8</v>
      </c>
      <c r="B284" s="12" t="str">
        <f>[1]Лист4!C116</f>
        <v>Эустома зеленая</v>
      </c>
      <c r="C284" s="13">
        <f>[1]Лист4!D116</f>
        <v>250</v>
      </c>
      <c r="D284" s="14">
        <f>[1]Лист4!F116</f>
        <v>1.34</v>
      </c>
      <c r="E284" s="15">
        <f t="shared" si="60"/>
        <v>335</v>
      </c>
      <c r="F284" s="15">
        <f t="shared" si="61"/>
        <v>0.110684</v>
      </c>
      <c r="G284" s="16">
        <f t="shared" si="59"/>
        <v>2.48</v>
      </c>
      <c r="H284" s="16">
        <f t="shared" si="62"/>
        <v>7.3599999999999994</v>
      </c>
      <c r="I284" s="16">
        <f t="shared" si="63"/>
        <v>8.49</v>
      </c>
      <c r="J284" s="16">
        <f t="shared" si="64"/>
        <v>7.29</v>
      </c>
      <c r="K284" s="16">
        <f t="shared" si="65"/>
        <v>9.4809999999999999</v>
      </c>
      <c r="L284" s="17">
        <v>3.5</v>
      </c>
      <c r="M284" s="16">
        <f t="shared" si="66"/>
        <v>3.08</v>
      </c>
      <c r="N284" s="17">
        <f t="shared" si="67"/>
        <v>9.98</v>
      </c>
      <c r="O284" s="17">
        <f t="shared" si="68"/>
        <v>8.7899999999999991</v>
      </c>
      <c r="P284" s="18">
        <f t="shared" si="69"/>
        <v>620</v>
      </c>
      <c r="Q284" s="19">
        <f t="shared" si="70"/>
        <v>875</v>
      </c>
      <c r="R284" s="19">
        <f t="shared" si="71"/>
        <v>255</v>
      </c>
      <c r="S284" s="20"/>
      <c r="T284" s="21" t="s">
        <v>276</v>
      </c>
    </row>
    <row r="285" spans="1:20" ht="15.75" x14ac:dyDescent="0.25">
      <c r="A285" s="11">
        <f>[1]Лист4!A114</f>
        <v>8</v>
      </c>
      <c r="B285" s="12" t="str">
        <f>[1]Лист4!C114</f>
        <v>Эустома светло-розовая БИГ САН</v>
      </c>
      <c r="C285" s="13">
        <f>[1]Лист4!D114</f>
        <v>200</v>
      </c>
      <c r="D285" s="14">
        <f>[1]Лист4!F114</f>
        <v>0.9</v>
      </c>
      <c r="E285" s="15">
        <f t="shared" si="60"/>
        <v>180</v>
      </c>
      <c r="F285" s="15">
        <f t="shared" si="61"/>
        <v>7.4340000000000017E-2</v>
      </c>
      <c r="G285" s="16">
        <f t="shared" si="59"/>
        <v>1.72</v>
      </c>
      <c r="H285" s="16">
        <f t="shared" si="62"/>
        <v>5.0999999999999996</v>
      </c>
      <c r="I285" s="16">
        <f t="shared" si="63"/>
        <v>5.89</v>
      </c>
      <c r="J285" s="16">
        <f t="shared" si="64"/>
        <v>5.05</v>
      </c>
      <c r="K285" s="16">
        <f t="shared" si="65"/>
        <v>7.3149999999999995</v>
      </c>
      <c r="L285" s="17">
        <v>2.7</v>
      </c>
      <c r="M285" s="16">
        <f t="shared" si="66"/>
        <v>2.38</v>
      </c>
      <c r="N285" s="17">
        <f t="shared" si="67"/>
        <v>7.7</v>
      </c>
      <c r="O285" s="17">
        <f t="shared" si="68"/>
        <v>6.7799999999999994</v>
      </c>
      <c r="P285" s="18">
        <f t="shared" si="69"/>
        <v>344</v>
      </c>
      <c r="Q285" s="19">
        <f t="shared" si="70"/>
        <v>540</v>
      </c>
      <c r="R285" s="19">
        <f t="shared" si="71"/>
        <v>196</v>
      </c>
      <c r="S285" s="20"/>
      <c r="T285" s="21" t="s">
        <v>277</v>
      </c>
    </row>
    <row r="286" spans="1:20" ht="15.75" x14ac:dyDescent="0.25">
      <c r="A286" s="11">
        <f>[1]Лист4!A112</f>
        <v>8</v>
      </c>
      <c r="B286" s="12" t="str">
        <f>[1]Лист4!C112</f>
        <v>Эустома сиреневая</v>
      </c>
      <c r="C286" s="13">
        <f>[1]Лист4!D112</f>
        <v>40</v>
      </c>
      <c r="D286" s="14">
        <f>[1]Лист4!F112</f>
        <v>1.35</v>
      </c>
      <c r="E286" s="15">
        <f t="shared" si="60"/>
        <v>54</v>
      </c>
      <c r="F286" s="15">
        <f t="shared" si="61"/>
        <v>0.11151000000000001</v>
      </c>
      <c r="G286" s="16">
        <f t="shared" si="59"/>
        <v>2.5</v>
      </c>
      <c r="H286" s="16">
        <f t="shared" si="62"/>
        <v>7.41</v>
      </c>
      <c r="I286" s="16">
        <f t="shared" si="63"/>
        <v>8.5500000000000007</v>
      </c>
      <c r="J286" s="16">
        <f t="shared" si="64"/>
        <v>7.34</v>
      </c>
      <c r="K286" s="16">
        <f t="shared" si="65"/>
        <v>9.4809999999999999</v>
      </c>
      <c r="L286" s="17">
        <v>3.5</v>
      </c>
      <c r="M286" s="16">
        <f t="shared" si="66"/>
        <v>3.08</v>
      </c>
      <c r="N286" s="17">
        <f t="shared" si="67"/>
        <v>9.98</v>
      </c>
      <c r="O286" s="17">
        <f t="shared" si="68"/>
        <v>8.7899999999999991</v>
      </c>
      <c r="P286" s="18">
        <f t="shared" si="69"/>
        <v>100</v>
      </c>
      <c r="Q286" s="19">
        <f t="shared" si="70"/>
        <v>140</v>
      </c>
      <c r="R286" s="19">
        <f t="shared" si="71"/>
        <v>40</v>
      </c>
      <c r="S286" s="20"/>
      <c r="T286" s="21" t="s">
        <v>278</v>
      </c>
    </row>
    <row r="287" spans="1:20" ht="15.75" x14ac:dyDescent="0.25">
      <c r="A287" s="11">
        <f>[1]Лист4!A119</f>
        <v>8</v>
      </c>
      <c r="B287" s="12" t="str">
        <f>[1]Лист4!C119</f>
        <v>Эустома Собрина Оранж</v>
      </c>
      <c r="C287" s="13">
        <f>[1]Лист4!D119</f>
        <v>40</v>
      </c>
      <c r="D287" s="14">
        <f>[1]Лист4!F119</f>
        <v>1.1200000000000001</v>
      </c>
      <c r="E287" s="15">
        <f t="shared" si="60"/>
        <v>44.800000000000004</v>
      </c>
      <c r="F287" s="15">
        <f t="shared" si="61"/>
        <v>9.2512000000000011E-2</v>
      </c>
      <c r="G287" s="16">
        <f t="shared" si="59"/>
        <v>2.1</v>
      </c>
      <c r="H287" s="16">
        <f t="shared" si="62"/>
        <v>6.2299999999999995</v>
      </c>
      <c r="I287" s="16">
        <f t="shared" si="63"/>
        <v>7.1899999999999995</v>
      </c>
      <c r="J287" s="16">
        <f t="shared" si="64"/>
        <v>6.17</v>
      </c>
      <c r="K287" s="16">
        <f t="shared" si="65"/>
        <v>8.6639999999999997</v>
      </c>
      <c r="L287" s="17">
        <v>3.2</v>
      </c>
      <c r="M287" s="16">
        <f t="shared" si="66"/>
        <v>2.82</v>
      </c>
      <c r="N287" s="17">
        <f t="shared" si="67"/>
        <v>9.1199999999999992</v>
      </c>
      <c r="O287" s="17">
        <f t="shared" si="68"/>
        <v>8.0299999999999994</v>
      </c>
      <c r="P287" s="18">
        <f t="shared" si="69"/>
        <v>84</v>
      </c>
      <c r="Q287" s="19">
        <f t="shared" si="70"/>
        <v>128</v>
      </c>
      <c r="R287" s="19">
        <f t="shared" si="71"/>
        <v>44</v>
      </c>
      <c r="S287" s="20"/>
      <c r="T287" s="21" t="s">
        <v>279</v>
      </c>
    </row>
    <row r="288" spans="1:20" ht="15.75" x14ac:dyDescent="0.25">
      <c r="A288" s="11">
        <f>[1]Лист4!A115</f>
        <v>8</v>
      </c>
      <c r="B288" s="12" t="str">
        <f>[1]Лист4!C115</f>
        <v>Эустома терракот</v>
      </c>
      <c r="C288" s="13">
        <f>[1]Лист4!D115</f>
        <v>60</v>
      </c>
      <c r="D288" s="14">
        <f>[1]Лист4!F115</f>
        <v>1.1599999999999999</v>
      </c>
      <c r="E288" s="15">
        <f t="shared" si="60"/>
        <v>69.599999999999994</v>
      </c>
      <c r="F288" s="15">
        <f t="shared" si="61"/>
        <v>9.5815999999999998E-2</v>
      </c>
      <c r="G288" s="16">
        <f t="shared" si="59"/>
        <v>2.17</v>
      </c>
      <c r="H288" s="16">
        <f t="shared" si="62"/>
        <v>6.4399999999999995</v>
      </c>
      <c r="I288" s="16">
        <f t="shared" si="63"/>
        <v>7.43</v>
      </c>
      <c r="J288" s="16">
        <f t="shared" si="64"/>
        <v>6.38</v>
      </c>
      <c r="K288" s="16">
        <f t="shared" si="65"/>
        <v>8.6639999999999997</v>
      </c>
      <c r="L288" s="17">
        <v>3.2</v>
      </c>
      <c r="M288" s="16">
        <f t="shared" si="66"/>
        <v>2.82</v>
      </c>
      <c r="N288" s="17">
        <f t="shared" si="67"/>
        <v>9.1199999999999992</v>
      </c>
      <c r="O288" s="17">
        <f t="shared" si="68"/>
        <v>8.0299999999999994</v>
      </c>
      <c r="P288" s="18">
        <f t="shared" si="69"/>
        <v>130.19999999999999</v>
      </c>
      <c r="Q288" s="19">
        <f t="shared" si="70"/>
        <v>192</v>
      </c>
      <c r="R288" s="19">
        <f t="shared" si="71"/>
        <v>61.800000000000011</v>
      </c>
      <c r="S288" s="20"/>
      <c r="T288" s="21" t="s">
        <v>280</v>
      </c>
    </row>
    <row r="289" spans="1:20" ht="15.75" x14ac:dyDescent="0.25">
      <c r="A289" s="11">
        <f>[1]Лист4!A110</f>
        <v>8</v>
      </c>
      <c r="B289" s="12" t="str">
        <f>[1]Лист4!C110</f>
        <v>Эустома Целеб белая</v>
      </c>
      <c r="C289" s="13">
        <f>[1]Лист4!D110</f>
        <v>40</v>
      </c>
      <c r="D289" s="14">
        <f>[1]Лист4!F110</f>
        <v>1.7</v>
      </c>
      <c r="E289" s="15">
        <f t="shared" si="60"/>
        <v>68</v>
      </c>
      <c r="F289" s="15">
        <f t="shared" si="61"/>
        <v>0.14041999999999999</v>
      </c>
      <c r="G289" s="16">
        <f t="shared" si="59"/>
        <v>3.1</v>
      </c>
      <c r="H289" s="16">
        <f t="shared" si="62"/>
        <v>9.19</v>
      </c>
      <c r="I289" s="16">
        <f t="shared" si="63"/>
        <v>10.61</v>
      </c>
      <c r="J289" s="16">
        <f t="shared" si="64"/>
        <v>9.11</v>
      </c>
      <c r="K289" s="16">
        <f t="shared" si="65"/>
        <v>11.513999999999999</v>
      </c>
      <c r="L289" s="17">
        <v>4.25</v>
      </c>
      <c r="M289" s="16">
        <f t="shared" si="66"/>
        <v>3.74</v>
      </c>
      <c r="N289" s="17">
        <f t="shared" si="67"/>
        <v>12.12</v>
      </c>
      <c r="O289" s="17">
        <f t="shared" si="68"/>
        <v>10.67</v>
      </c>
      <c r="P289" s="18">
        <f t="shared" si="69"/>
        <v>124</v>
      </c>
      <c r="Q289" s="19">
        <f t="shared" si="70"/>
        <v>170</v>
      </c>
      <c r="R289" s="19">
        <f t="shared" si="71"/>
        <v>46</v>
      </c>
      <c r="S289" s="20"/>
      <c r="T289" s="21" t="s">
        <v>281</v>
      </c>
    </row>
    <row r="290" spans="1:20" ht="15.75" x14ac:dyDescent="0.25">
      <c r="A290" s="11">
        <f>[1]Лист4!A109</f>
        <v>8</v>
      </c>
      <c r="B290" s="12" t="str">
        <f>[1]Лист4!C109</f>
        <v>Эустома Целеб Квин розовая</v>
      </c>
      <c r="C290" s="13">
        <f>[1]Лист4!D109</f>
        <v>40</v>
      </c>
      <c r="D290" s="14">
        <f>[1]Лист4!F109</f>
        <v>1.69</v>
      </c>
      <c r="E290" s="15">
        <f t="shared" si="60"/>
        <v>67.599999999999994</v>
      </c>
      <c r="F290" s="15">
        <f t="shared" si="61"/>
        <v>0.139594</v>
      </c>
      <c r="G290" s="16">
        <f t="shared" si="59"/>
        <v>3.09</v>
      </c>
      <c r="H290" s="16">
        <f t="shared" si="62"/>
        <v>9.16</v>
      </c>
      <c r="I290" s="16">
        <f t="shared" si="63"/>
        <v>10.57</v>
      </c>
      <c r="J290" s="16">
        <f t="shared" si="64"/>
        <v>9.08</v>
      </c>
      <c r="K290" s="16">
        <f t="shared" si="65"/>
        <v>11.513999999999999</v>
      </c>
      <c r="L290" s="17">
        <v>4.25</v>
      </c>
      <c r="M290" s="16">
        <f t="shared" si="66"/>
        <v>3.74</v>
      </c>
      <c r="N290" s="17">
        <f t="shared" si="67"/>
        <v>12.12</v>
      </c>
      <c r="O290" s="17">
        <f t="shared" si="68"/>
        <v>10.67</v>
      </c>
      <c r="P290" s="18">
        <f t="shared" si="69"/>
        <v>123.6</v>
      </c>
      <c r="Q290" s="19">
        <f t="shared" si="70"/>
        <v>170</v>
      </c>
      <c r="R290" s="19">
        <f t="shared" si="71"/>
        <v>46.400000000000006</v>
      </c>
      <c r="S290" s="20"/>
      <c r="T290" s="21" t="s">
        <v>282</v>
      </c>
    </row>
    <row r="291" spans="1:20" ht="15.75" x14ac:dyDescent="0.25">
      <c r="A291" s="11">
        <f>[1]Лист4!A290</f>
        <v>0</v>
      </c>
      <c r="B291" s="12">
        <f>[1]Лист4!C290</f>
        <v>0</v>
      </c>
      <c r="C291" s="13">
        <f>[1]Лист4!D290</f>
        <v>0</v>
      </c>
      <c r="D291" s="14" t="e">
        <f>[1]Лист4!F290</f>
        <v>#DIV/0!</v>
      </c>
      <c r="E291" s="15" t="e">
        <f t="shared" si="60"/>
        <v>#DIV/0!</v>
      </c>
      <c r="F291" s="15" t="e">
        <f t="shared" si="61"/>
        <v>#DIV/0!</v>
      </c>
      <c r="G291" s="16" t="e">
        <f t="shared" si="59"/>
        <v>#DIV/0!</v>
      </c>
      <c r="H291" s="16" t="e">
        <f t="shared" si="62"/>
        <v>#DIV/0!</v>
      </c>
      <c r="I291" s="16" t="e">
        <f t="shared" si="63"/>
        <v>#DIV/0!</v>
      </c>
      <c r="J291" s="16" t="e">
        <f t="shared" si="64"/>
        <v>#DIV/0!</v>
      </c>
      <c r="K291" s="16" t="e">
        <f t="shared" si="65"/>
        <v>#DIV/0!</v>
      </c>
      <c r="L291" s="17" t="e">
        <f t="shared" ref="L291:L354" si="73">G291*1.55</f>
        <v>#DIV/0!</v>
      </c>
      <c r="M291" s="16" t="e">
        <f t="shared" si="66"/>
        <v>#DIV/0!</v>
      </c>
      <c r="N291" s="17" t="e">
        <f t="shared" si="67"/>
        <v>#DIV/0!</v>
      </c>
      <c r="O291" s="17" t="e">
        <f t="shared" si="68"/>
        <v>#DIV/0!</v>
      </c>
      <c r="P291" s="18" t="e">
        <f t="shared" si="69"/>
        <v>#DIV/0!</v>
      </c>
      <c r="Q291" s="19" t="e">
        <f t="shared" si="70"/>
        <v>#DIV/0!</v>
      </c>
      <c r="R291" s="19" t="e">
        <f t="shared" si="71"/>
        <v>#DIV/0!</v>
      </c>
      <c r="S291" s="20"/>
      <c r="T291" s="20">
        <f>[1]Лист4!B290</f>
        <v>0</v>
      </c>
    </row>
    <row r="292" spans="1:20" ht="15.75" x14ac:dyDescent="0.25">
      <c r="A292" s="11">
        <f>[1]Лист4!A291</f>
        <v>0</v>
      </c>
      <c r="B292" s="12">
        <f>[1]Лист4!C291</f>
        <v>0</v>
      </c>
      <c r="C292" s="13">
        <f>[1]Лист4!D291</f>
        <v>0</v>
      </c>
      <c r="D292" s="14" t="e">
        <f>[1]Лист4!F291</f>
        <v>#DIV/0!</v>
      </c>
      <c r="E292" s="15" t="e">
        <f t="shared" si="60"/>
        <v>#DIV/0!</v>
      </c>
      <c r="F292" s="15" t="e">
        <f t="shared" si="61"/>
        <v>#DIV/0!</v>
      </c>
      <c r="G292" s="16" t="e">
        <f t="shared" si="59"/>
        <v>#DIV/0!</v>
      </c>
      <c r="H292" s="16" t="e">
        <f t="shared" si="62"/>
        <v>#DIV/0!</v>
      </c>
      <c r="I292" s="16" t="e">
        <f t="shared" si="63"/>
        <v>#DIV/0!</v>
      </c>
      <c r="J292" s="16" t="e">
        <f t="shared" si="64"/>
        <v>#DIV/0!</v>
      </c>
      <c r="K292" s="16" t="e">
        <f t="shared" si="65"/>
        <v>#DIV/0!</v>
      </c>
      <c r="L292" s="17" t="e">
        <f t="shared" si="73"/>
        <v>#DIV/0!</v>
      </c>
      <c r="M292" s="16" t="e">
        <f t="shared" si="66"/>
        <v>#DIV/0!</v>
      </c>
      <c r="N292" s="17" t="e">
        <f t="shared" si="67"/>
        <v>#DIV/0!</v>
      </c>
      <c r="O292" s="17" t="e">
        <f t="shared" si="68"/>
        <v>#DIV/0!</v>
      </c>
      <c r="P292" s="18" t="e">
        <f t="shared" si="69"/>
        <v>#DIV/0!</v>
      </c>
      <c r="Q292" s="19" t="e">
        <f t="shared" si="70"/>
        <v>#DIV/0!</v>
      </c>
      <c r="R292" s="19" t="e">
        <f t="shared" si="71"/>
        <v>#DIV/0!</v>
      </c>
      <c r="S292" s="20"/>
      <c r="T292" s="20">
        <f>[1]Лист4!B291</f>
        <v>0</v>
      </c>
    </row>
    <row r="293" spans="1:20" ht="15.75" x14ac:dyDescent="0.25">
      <c r="A293" s="11">
        <f>[1]Лист4!A292</f>
        <v>0</v>
      </c>
      <c r="B293" s="12">
        <f>[1]Лист4!C292</f>
        <v>0</v>
      </c>
      <c r="C293" s="13">
        <f>[1]Лист4!D292</f>
        <v>0</v>
      </c>
      <c r="D293" s="14" t="e">
        <f>[1]Лист4!F292</f>
        <v>#DIV/0!</v>
      </c>
      <c r="E293" s="15" t="e">
        <f t="shared" si="60"/>
        <v>#DIV/0!</v>
      </c>
      <c r="F293" s="15" t="e">
        <f t="shared" si="61"/>
        <v>#DIV/0!</v>
      </c>
      <c r="G293" s="16" t="e">
        <f t="shared" si="59"/>
        <v>#DIV/0!</v>
      </c>
      <c r="H293" s="16" t="e">
        <f t="shared" si="62"/>
        <v>#DIV/0!</v>
      </c>
      <c r="I293" s="16" t="e">
        <f t="shared" si="63"/>
        <v>#DIV/0!</v>
      </c>
      <c r="J293" s="16" t="e">
        <f t="shared" si="64"/>
        <v>#DIV/0!</v>
      </c>
      <c r="K293" s="16" t="e">
        <f t="shared" si="65"/>
        <v>#DIV/0!</v>
      </c>
      <c r="L293" s="17" t="e">
        <f t="shared" si="73"/>
        <v>#DIV/0!</v>
      </c>
      <c r="M293" s="16" t="e">
        <f t="shared" si="66"/>
        <v>#DIV/0!</v>
      </c>
      <c r="N293" s="17" t="e">
        <f t="shared" si="67"/>
        <v>#DIV/0!</v>
      </c>
      <c r="O293" s="17" t="e">
        <f t="shared" si="68"/>
        <v>#DIV/0!</v>
      </c>
      <c r="P293" s="18" t="e">
        <f t="shared" si="69"/>
        <v>#DIV/0!</v>
      </c>
      <c r="Q293" s="19" t="e">
        <f t="shared" si="70"/>
        <v>#DIV/0!</v>
      </c>
      <c r="R293" s="19" t="e">
        <f t="shared" si="71"/>
        <v>#DIV/0!</v>
      </c>
      <c r="S293" s="20"/>
      <c r="T293" s="20">
        <f>[1]Лист4!B292</f>
        <v>0</v>
      </c>
    </row>
    <row r="294" spans="1:20" ht="15.75" x14ac:dyDescent="0.25">
      <c r="A294" s="11">
        <f>[1]Лист4!A293</f>
        <v>0</v>
      </c>
      <c r="B294" s="12">
        <f>[1]Лист4!C293</f>
        <v>0</v>
      </c>
      <c r="C294" s="13">
        <f>[1]Лист4!D293</f>
        <v>0</v>
      </c>
      <c r="D294" s="14" t="e">
        <f>[1]Лист4!F293</f>
        <v>#DIV/0!</v>
      </c>
      <c r="E294" s="15" t="e">
        <f t="shared" si="60"/>
        <v>#DIV/0!</v>
      </c>
      <c r="F294" s="15" t="e">
        <f t="shared" si="61"/>
        <v>#DIV/0!</v>
      </c>
      <c r="G294" s="16" t="e">
        <f t="shared" si="59"/>
        <v>#DIV/0!</v>
      </c>
      <c r="H294" s="16" t="e">
        <f t="shared" si="62"/>
        <v>#DIV/0!</v>
      </c>
      <c r="I294" s="16" t="e">
        <f t="shared" si="63"/>
        <v>#DIV/0!</v>
      </c>
      <c r="J294" s="16" t="e">
        <f t="shared" si="64"/>
        <v>#DIV/0!</v>
      </c>
      <c r="K294" s="16" t="e">
        <f t="shared" si="65"/>
        <v>#DIV/0!</v>
      </c>
      <c r="L294" s="17" t="e">
        <f t="shared" si="73"/>
        <v>#DIV/0!</v>
      </c>
      <c r="M294" s="16" t="e">
        <f t="shared" si="66"/>
        <v>#DIV/0!</v>
      </c>
      <c r="N294" s="17" t="e">
        <f t="shared" si="67"/>
        <v>#DIV/0!</v>
      </c>
      <c r="O294" s="17" t="e">
        <f t="shared" si="68"/>
        <v>#DIV/0!</v>
      </c>
      <c r="P294" s="18" t="e">
        <f t="shared" si="69"/>
        <v>#DIV/0!</v>
      </c>
      <c r="Q294" s="19" t="e">
        <f t="shared" si="70"/>
        <v>#DIV/0!</v>
      </c>
      <c r="R294" s="19" t="e">
        <f t="shared" si="71"/>
        <v>#DIV/0!</v>
      </c>
      <c r="S294" s="20"/>
      <c r="T294" s="20">
        <f>[1]Лист4!B293</f>
        <v>0</v>
      </c>
    </row>
    <row r="295" spans="1:20" ht="15.75" x14ac:dyDescent="0.25">
      <c r="A295" s="11">
        <f>[1]Лист4!A294</f>
        <v>0</v>
      </c>
      <c r="B295" s="12">
        <f>[1]Лист4!C294</f>
        <v>0</v>
      </c>
      <c r="C295" s="13">
        <f>[1]Лист4!D294</f>
        <v>0</v>
      </c>
      <c r="D295" s="14" t="e">
        <f>[1]Лист4!F294</f>
        <v>#DIV/0!</v>
      </c>
      <c r="E295" s="15" t="e">
        <f t="shared" si="60"/>
        <v>#DIV/0!</v>
      </c>
      <c r="F295" s="15" t="e">
        <f t="shared" si="61"/>
        <v>#DIV/0!</v>
      </c>
      <c r="G295" s="16" t="e">
        <f t="shared" si="59"/>
        <v>#DIV/0!</v>
      </c>
      <c r="H295" s="16" t="e">
        <f t="shared" si="62"/>
        <v>#DIV/0!</v>
      </c>
      <c r="I295" s="16" t="e">
        <f t="shared" si="63"/>
        <v>#DIV/0!</v>
      </c>
      <c r="J295" s="16" t="e">
        <f t="shared" si="64"/>
        <v>#DIV/0!</v>
      </c>
      <c r="K295" s="16" t="e">
        <f t="shared" si="65"/>
        <v>#DIV/0!</v>
      </c>
      <c r="L295" s="17" t="e">
        <f t="shared" si="73"/>
        <v>#DIV/0!</v>
      </c>
      <c r="M295" s="16" t="e">
        <f t="shared" si="66"/>
        <v>#DIV/0!</v>
      </c>
      <c r="N295" s="17" t="e">
        <f t="shared" si="67"/>
        <v>#DIV/0!</v>
      </c>
      <c r="O295" s="17" t="e">
        <f t="shared" si="68"/>
        <v>#DIV/0!</v>
      </c>
      <c r="P295" s="18" t="e">
        <f t="shared" si="69"/>
        <v>#DIV/0!</v>
      </c>
      <c r="Q295" s="19" t="e">
        <f t="shared" si="70"/>
        <v>#DIV/0!</v>
      </c>
      <c r="R295" s="19" t="e">
        <f t="shared" si="71"/>
        <v>#DIV/0!</v>
      </c>
      <c r="S295" s="20"/>
      <c r="T295" s="20">
        <f>[1]Лист4!B294</f>
        <v>0</v>
      </c>
    </row>
    <row r="296" spans="1:20" ht="15.75" x14ac:dyDescent="0.25">
      <c r="A296" s="11">
        <f>[1]Лист4!A295</f>
        <v>0</v>
      </c>
      <c r="B296" s="12">
        <f>[1]Лист4!C295</f>
        <v>0</v>
      </c>
      <c r="C296" s="13">
        <f>[1]Лист4!D295</f>
        <v>0</v>
      </c>
      <c r="D296" s="14" t="e">
        <f>[1]Лист4!F295</f>
        <v>#DIV/0!</v>
      </c>
      <c r="E296" s="15" t="e">
        <f t="shared" si="60"/>
        <v>#DIV/0!</v>
      </c>
      <c r="F296" s="15" t="e">
        <f t="shared" si="61"/>
        <v>#DIV/0!</v>
      </c>
      <c r="G296" s="16" t="e">
        <f t="shared" si="59"/>
        <v>#DIV/0!</v>
      </c>
      <c r="H296" s="16" t="e">
        <f t="shared" si="62"/>
        <v>#DIV/0!</v>
      </c>
      <c r="I296" s="16" t="e">
        <f t="shared" si="63"/>
        <v>#DIV/0!</v>
      </c>
      <c r="J296" s="16" t="e">
        <f t="shared" si="64"/>
        <v>#DIV/0!</v>
      </c>
      <c r="K296" s="16" t="e">
        <f t="shared" si="65"/>
        <v>#DIV/0!</v>
      </c>
      <c r="L296" s="17" t="e">
        <f t="shared" si="73"/>
        <v>#DIV/0!</v>
      </c>
      <c r="M296" s="16" t="e">
        <f t="shared" si="66"/>
        <v>#DIV/0!</v>
      </c>
      <c r="N296" s="17" t="e">
        <f t="shared" si="67"/>
        <v>#DIV/0!</v>
      </c>
      <c r="O296" s="17" t="e">
        <f t="shared" si="68"/>
        <v>#DIV/0!</v>
      </c>
      <c r="P296" s="18" t="e">
        <f t="shared" si="69"/>
        <v>#DIV/0!</v>
      </c>
      <c r="Q296" s="19" t="e">
        <f t="shared" si="70"/>
        <v>#DIV/0!</v>
      </c>
      <c r="R296" s="19" t="e">
        <f t="shared" si="71"/>
        <v>#DIV/0!</v>
      </c>
      <c r="S296" s="20"/>
      <c r="T296" s="20">
        <f>[1]Лист4!B295</f>
        <v>0</v>
      </c>
    </row>
    <row r="297" spans="1:20" ht="15.75" x14ac:dyDescent="0.25">
      <c r="A297" s="11">
        <f>[1]Лист4!A296</f>
        <v>0</v>
      </c>
      <c r="B297" s="12">
        <f>[1]Лист4!C296</f>
        <v>0</v>
      </c>
      <c r="C297" s="13">
        <f>[1]Лист4!D296</f>
        <v>0</v>
      </c>
      <c r="D297" s="14" t="e">
        <f>[1]Лист4!F296</f>
        <v>#DIV/0!</v>
      </c>
      <c r="E297" s="15" t="e">
        <f t="shared" si="60"/>
        <v>#DIV/0!</v>
      </c>
      <c r="F297" s="15" t="e">
        <f t="shared" si="61"/>
        <v>#DIV/0!</v>
      </c>
      <c r="G297" s="16" t="e">
        <f t="shared" si="59"/>
        <v>#DIV/0!</v>
      </c>
      <c r="H297" s="16" t="e">
        <f t="shared" si="62"/>
        <v>#DIV/0!</v>
      </c>
      <c r="I297" s="16" t="e">
        <f t="shared" si="63"/>
        <v>#DIV/0!</v>
      </c>
      <c r="J297" s="16" t="e">
        <f t="shared" si="64"/>
        <v>#DIV/0!</v>
      </c>
      <c r="K297" s="16" t="e">
        <f t="shared" si="65"/>
        <v>#DIV/0!</v>
      </c>
      <c r="L297" s="17" t="e">
        <f t="shared" si="73"/>
        <v>#DIV/0!</v>
      </c>
      <c r="M297" s="16" t="e">
        <f t="shared" si="66"/>
        <v>#DIV/0!</v>
      </c>
      <c r="N297" s="17" t="e">
        <f t="shared" si="67"/>
        <v>#DIV/0!</v>
      </c>
      <c r="O297" s="17" t="e">
        <f t="shared" si="68"/>
        <v>#DIV/0!</v>
      </c>
      <c r="P297" s="18" t="e">
        <f t="shared" si="69"/>
        <v>#DIV/0!</v>
      </c>
      <c r="Q297" s="19" t="e">
        <f t="shared" si="70"/>
        <v>#DIV/0!</v>
      </c>
      <c r="R297" s="19" t="e">
        <f t="shared" si="71"/>
        <v>#DIV/0!</v>
      </c>
      <c r="S297" s="20"/>
      <c r="T297" s="20">
        <f>[1]Лист4!B296</f>
        <v>0</v>
      </c>
    </row>
    <row r="298" spans="1:20" ht="15.75" x14ac:dyDescent="0.25">
      <c r="A298" s="11">
        <f>[1]Лист4!A297</f>
        <v>0</v>
      </c>
      <c r="B298" s="12">
        <f>[1]Лист4!C297</f>
        <v>0</v>
      </c>
      <c r="C298" s="13">
        <f>[1]Лист4!D297</f>
        <v>0</v>
      </c>
      <c r="D298" s="14" t="e">
        <f>[1]Лист4!F297</f>
        <v>#DIV/0!</v>
      </c>
      <c r="E298" s="15" t="e">
        <f t="shared" si="60"/>
        <v>#DIV/0!</v>
      </c>
      <c r="F298" s="15" t="e">
        <f t="shared" si="61"/>
        <v>#DIV/0!</v>
      </c>
      <c r="G298" s="16" t="e">
        <f t="shared" si="59"/>
        <v>#DIV/0!</v>
      </c>
      <c r="H298" s="16" t="e">
        <f t="shared" si="62"/>
        <v>#DIV/0!</v>
      </c>
      <c r="I298" s="16" t="e">
        <f t="shared" si="63"/>
        <v>#DIV/0!</v>
      </c>
      <c r="J298" s="16" t="e">
        <f t="shared" si="64"/>
        <v>#DIV/0!</v>
      </c>
      <c r="K298" s="16" t="e">
        <f t="shared" si="65"/>
        <v>#DIV/0!</v>
      </c>
      <c r="L298" s="17" t="e">
        <f t="shared" si="73"/>
        <v>#DIV/0!</v>
      </c>
      <c r="M298" s="16" t="e">
        <f t="shared" si="66"/>
        <v>#DIV/0!</v>
      </c>
      <c r="N298" s="17" t="e">
        <f t="shared" si="67"/>
        <v>#DIV/0!</v>
      </c>
      <c r="O298" s="17" t="e">
        <f t="shared" si="68"/>
        <v>#DIV/0!</v>
      </c>
      <c r="P298" s="18" t="e">
        <f t="shared" si="69"/>
        <v>#DIV/0!</v>
      </c>
      <c r="Q298" s="19" t="e">
        <f t="shared" si="70"/>
        <v>#DIV/0!</v>
      </c>
      <c r="R298" s="19" t="e">
        <f t="shared" si="71"/>
        <v>#DIV/0!</v>
      </c>
      <c r="S298" s="20"/>
      <c r="T298" s="20">
        <f>[1]Лист4!B297</f>
        <v>0</v>
      </c>
    </row>
    <row r="299" spans="1:20" ht="15.75" x14ac:dyDescent="0.25">
      <c r="A299" s="11">
        <f>[1]Лист4!A298</f>
        <v>0</v>
      </c>
      <c r="B299" s="12">
        <f>[1]Лист4!C298</f>
        <v>0</v>
      </c>
      <c r="C299" s="13">
        <f>[1]Лист4!D298</f>
        <v>0</v>
      </c>
      <c r="D299" s="14" t="e">
        <f>[1]Лист4!F298</f>
        <v>#DIV/0!</v>
      </c>
      <c r="E299" s="15" t="e">
        <f t="shared" si="60"/>
        <v>#DIV/0!</v>
      </c>
      <c r="F299" s="15" t="e">
        <f t="shared" si="61"/>
        <v>#DIV/0!</v>
      </c>
      <c r="G299" s="16" t="e">
        <f t="shared" si="59"/>
        <v>#DIV/0!</v>
      </c>
      <c r="H299" s="16" t="e">
        <f t="shared" si="62"/>
        <v>#DIV/0!</v>
      </c>
      <c r="I299" s="16" t="e">
        <f t="shared" si="63"/>
        <v>#DIV/0!</v>
      </c>
      <c r="J299" s="16" t="e">
        <f t="shared" si="64"/>
        <v>#DIV/0!</v>
      </c>
      <c r="K299" s="16" t="e">
        <f t="shared" si="65"/>
        <v>#DIV/0!</v>
      </c>
      <c r="L299" s="17" t="e">
        <f t="shared" si="73"/>
        <v>#DIV/0!</v>
      </c>
      <c r="M299" s="16" t="e">
        <f t="shared" si="66"/>
        <v>#DIV/0!</v>
      </c>
      <c r="N299" s="17" t="e">
        <f t="shared" si="67"/>
        <v>#DIV/0!</v>
      </c>
      <c r="O299" s="17" t="e">
        <f t="shared" si="68"/>
        <v>#DIV/0!</v>
      </c>
      <c r="P299" s="18" t="e">
        <f t="shared" si="69"/>
        <v>#DIV/0!</v>
      </c>
      <c r="Q299" s="19" t="e">
        <f t="shared" si="70"/>
        <v>#DIV/0!</v>
      </c>
      <c r="R299" s="19" t="e">
        <f t="shared" si="71"/>
        <v>#DIV/0!</v>
      </c>
      <c r="S299" s="20"/>
      <c r="T299" s="20">
        <f>[1]Лист4!B298</f>
        <v>0</v>
      </c>
    </row>
    <row r="300" spans="1:20" ht="15.75" x14ac:dyDescent="0.25">
      <c r="A300" s="11">
        <f>[1]Лист4!A299</f>
        <v>0</v>
      </c>
      <c r="B300" s="12">
        <f>[1]Лист4!C299</f>
        <v>0</v>
      </c>
      <c r="C300" s="13">
        <f>[1]Лист4!D299</f>
        <v>0</v>
      </c>
      <c r="D300" s="14" t="e">
        <f>[1]Лист4!F299</f>
        <v>#DIV/0!</v>
      </c>
      <c r="E300" s="15" t="e">
        <f t="shared" si="60"/>
        <v>#DIV/0!</v>
      </c>
      <c r="F300" s="15" t="e">
        <f t="shared" si="61"/>
        <v>#DIV/0!</v>
      </c>
      <c r="G300" s="16" t="e">
        <f t="shared" si="59"/>
        <v>#DIV/0!</v>
      </c>
      <c r="H300" s="16" t="e">
        <f t="shared" si="62"/>
        <v>#DIV/0!</v>
      </c>
      <c r="I300" s="16" t="e">
        <f t="shared" si="63"/>
        <v>#DIV/0!</v>
      </c>
      <c r="J300" s="16" t="e">
        <f t="shared" si="64"/>
        <v>#DIV/0!</v>
      </c>
      <c r="K300" s="16" t="e">
        <f t="shared" si="65"/>
        <v>#DIV/0!</v>
      </c>
      <c r="L300" s="17" t="e">
        <f t="shared" si="73"/>
        <v>#DIV/0!</v>
      </c>
      <c r="M300" s="16" t="e">
        <f t="shared" si="66"/>
        <v>#DIV/0!</v>
      </c>
      <c r="N300" s="17" t="e">
        <f t="shared" si="67"/>
        <v>#DIV/0!</v>
      </c>
      <c r="O300" s="17" t="e">
        <f t="shared" si="68"/>
        <v>#DIV/0!</v>
      </c>
      <c r="P300" s="18" t="e">
        <f t="shared" si="69"/>
        <v>#DIV/0!</v>
      </c>
      <c r="Q300" s="19" t="e">
        <f t="shared" si="70"/>
        <v>#DIV/0!</v>
      </c>
      <c r="R300" s="19" t="e">
        <f t="shared" si="71"/>
        <v>#DIV/0!</v>
      </c>
      <c r="S300" s="20"/>
      <c r="T300" s="20">
        <f>[1]Лист4!B299</f>
        <v>0</v>
      </c>
    </row>
    <row r="301" spans="1:20" ht="15.75" x14ac:dyDescent="0.25">
      <c r="A301" s="11">
        <f>[1]Лист4!A300</f>
        <v>0</v>
      </c>
      <c r="B301" s="12">
        <f>[1]Лист4!C300</f>
        <v>0</v>
      </c>
      <c r="C301" s="13">
        <f>[1]Лист4!D300</f>
        <v>0</v>
      </c>
      <c r="D301" s="14" t="e">
        <f>[1]Лист4!F300</f>
        <v>#DIV/0!</v>
      </c>
      <c r="E301" s="15" t="e">
        <f t="shared" si="60"/>
        <v>#DIV/0!</v>
      </c>
      <c r="F301" s="15" t="e">
        <f t="shared" si="61"/>
        <v>#DIV/0!</v>
      </c>
      <c r="G301" s="16" t="e">
        <f t="shared" si="59"/>
        <v>#DIV/0!</v>
      </c>
      <c r="H301" s="16" t="e">
        <f t="shared" si="62"/>
        <v>#DIV/0!</v>
      </c>
      <c r="I301" s="16" t="e">
        <f t="shared" si="63"/>
        <v>#DIV/0!</v>
      </c>
      <c r="J301" s="16" t="e">
        <f t="shared" si="64"/>
        <v>#DIV/0!</v>
      </c>
      <c r="K301" s="16" t="e">
        <f t="shared" si="65"/>
        <v>#DIV/0!</v>
      </c>
      <c r="L301" s="17" t="e">
        <f t="shared" si="73"/>
        <v>#DIV/0!</v>
      </c>
      <c r="M301" s="16" t="e">
        <f t="shared" si="66"/>
        <v>#DIV/0!</v>
      </c>
      <c r="N301" s="17" t="e">
        <f t="shared" si="67"/>
        <v>#DIV/0!</v>
      </c>
      <c r="O301" s="17" t="e">
        <f t="shared" si="68"/>
        <v>#DIV/0!</v>
      </c>
      <c r="P301" s="18" t="e">
        <f t="shared" si="69"/>
        <v>#DIV/0!</v>
      </c>
      <c r="Q301" s="19" t="e">
        <f t="shared" si="70"/>
        <v>#DIV/0!</v>
      </c>
      <c r="R301" s="19" t="e">
        <f t="shared" si="71"/>
        <v>#DIV/0!</v>
      </c>
      <c r="S301" s="20"/>
      <c r="T301" s="20">
        <f>[1]Лист4!B300</f>
        <v>0</v>
      </c>
    </row>
    <row r="302" spans="1:20" ht="15.75" x14ac:dyDescent="0.25">
      <c r="A302" s="11">
        <f>[1]Лист4!A301</f>
        <v>0</v>
      </c>
      <c r="B302" s="12">
        <f>[1]Лист4!C301</f>
        <v>0</v>
      </c>
      <c r="C302" s="13">
        <f>[1]Лист4!D301</f>
        <v>0</v>
      </c>
      <c r="D302" s="14" t="e">
        <f>[1]Лист4!F301</f>
        <v>#DIV/0!</v>
      </c>
      <c r="E302" s="15" t="e">
        <f t="shared" si="60"/>
        <v>#DIV/0!</v>
      </c>
      <c r="F302" s="15" t="e">
        <f t="shared" si="61"/>
        <v>#DIV/0!</v>
      </c>
      <c r="G302" s="16" t="e">
        <f t="shared" si="59"/>
        <v>#DIV/0!</v>
      </c>
      <c r="H302" s="16" t="e">
        <f t="shared" si="62"/>
        <v>#DIV/0!</v>
      </c>
      <c r="I302" s="16" t="e">
        <f t="shared" si="63"/>
        <v>#DIV/0!</v>
      </c>
      <c r="J302" s="16" t="e">
        <f t="shared" si="64"/>
        <v>#DIV/0!</v>
      </c>
      <c r="K302" s="16" t="e">
        <f t="shared" si="65"/>
        <v>#DIV/0!</v>
      </c>
      <c r="L302" s="17" t="e">
        <f t="shared" si="73"/>
        <v>#DIV/0!</v>
      </c>
      <c r="M302" s="16" t="e">
        <f t="shared" si="66"/>
        <v>#DIV/0!</v>
      </c>
      <c r="N302" s="17" t="e">
        <f t="shared" si="67"/>
        <v>#DIV/0!</v>
      </c>
      <c r="O302" s="17" t="e">
        <f t="shared" si="68"/>
        <v>#DIV/0!</v>
      </c>
      <c r="P302" s="18" t="e">
        <f t="shared" si="69"/>
        <v>#DIV/0!</v>
      </c>
      <c r="Q302" s="19" t="e">
        <f t="shared" si="70"/>
        <v>#DIV/0!</v>
      </c>
      <c r="R302" s="19" t="e">
        <f t="shared" si="71"/>
        <v>#DIV/0!</v>
      </c>
      <c r="S302" s="20"/>
      <c r="T302" s="20">
        <f>[1]Лист4!B301</f>
        <v>0</v>
      </c>
    </row>
    <row r="303" spans="1:20" ht="15.75" x14ac:dyDescent="0.25">
      <c r="A303" s="11">
        <f>[1]Лист4!A302</f>
        <v>0</v>
      </c>
      <c r="B303" s="12">
        <f>[1]Лист4!C302</f>
        <v>0</v>
      </c>
      <c r="C303" s="13">
        <f>[1]Лист4!D302</f>
        <v>0</v>
      </c>
      <c r="D303" s="14" t="e">
        <f>[1]Лист4!F302</f>
        <v>#DIV/0!</v>
      </c>
      <c r="E303" s="15" t="e">
        <f t="shared" si="60"/>
        <v>#DIV/0!</v>
      </c>
      <c r="F303" s="15" t="e">
        <f t="shared" si="61"/>
        <v>#DIV/0!</v>
      </c>
      <c r="G303" s="16" t="e">
        <f t="shared" si="59"/>
        <v>#DIV/0!</v>
      </c>
      <c r="H303" s="16" t="e">
        <f t="shared" si="62"/>
        <v>#DIV/0!</v>
      </c>
      <c r="I303" s="16" t="e">
        <f t="shared" si="63"/>
        <v>#DIV/0!</v>
      </c>
      <c r="J303" s="16" t="e">
        <f t="shared" si="64"/>
        <v>#DIV/0!</v>
      </c>
      <c r="K303" s="16" t="e">
        <f t="shared" si="65"/>
        <v>#DIV/0!</v>
      </c>
      <c r="L303" s="17" t="e">
        <f t="shared" si="73"/>
        <v>#DIV/0!</v>
      </c>
      <c r="M303" s="16" t="e">
        <f t="shared" si="66"/>
        <v>#DIV/0!</v>
      </c>
      <c r="N303" s="17" t="e">
        <f t="shared" si="67"/>
        <v>#DIV/0!</v>
      </c>
      <c r="O303" s="17" t="e">
        <f t="shared" si="68"/>
        <v>#DIV/0!</v>
      </c>
      <c r="P303" s="18" t="e">
        <f t="shared" si="69"/>
        <v>#DIV/0!</v>
      </c>
      <c r="Q303" s="19" t="e">
        <f t="shared" si="70"/>
        <v>#DIV/0!</v>
      </c>
      <c r="R303" s="19" t="e">
        <f t="shared" si="71"/>
        <v>#DIV/0!</v>
      </c>
      <c r="S303" s="20"/>
      <c r="T303" s="20">
        <f>[1]Лист4!B302</f>
        <v>0</v>
      </c>
    </row>
    <row r="304" spans="1:20" ht="15.75" x14ac:dyDescent="0.25">
      <c r="A304" s="11">
        <f>[1]Лист4!A303</f>
        <v>0</v>
      </c>
      <c r="B304" s="12">
        <f>[1]Лист4!C303</f>
        <v>0</v>
      </c>
      <c r="C304" s="13">
        <f>[1]Лист4!D303</f>
        <v>0</v>
      </c>
      <c r="D304" s="14" t="e">
        <f>[1]Лист4!F303</f>
        <v>#DIV/0!</v>
      </c>
      <c r="E304" s="15" t="e">
        <f t="shared" si="60"/>
        <v>#DIV/0!</v>
      </c>
      <c r="F304" s="15" t="e">
        <f t="shared" si="61"/>
        <v>#DIV/0!</v>
      </c>
      <c r="G304" s="16" t="e">
        <f t="shared" si="59"/>
        <v>#DIV/0!</v>
      </c>
      <c r="H304" s="16" t="e">
        <f t="shared" si="62"/>
        <v>#DIV/0!</v>
      </c>
      <c r="I304" s="16" t="e">
        <f t="shared" si="63"/>
        <v>#DIV/0!</v>
      </c>
      <c r="J304" s="16" t="e">
        <f t="shared" si="64"/>
        <v>#DIV/0!</v>
      </c>
      <c r="K304" s="16" t="e">
        <f t="shared" si="65"/>
        <v>#DIV/0!</v>
      </c>
      <c r="L304" s="17" t="e">
        <f t="shared" si="73"/>
        <v>#DIV/0!</v>
      </c>
      <c r="M304" s="16" t="e">
        <f t="shared" si="66"/>
        <v>#DIV/0!</v>
      </c>
      <c r="N304" s="17" t="e">
        <f t="shared" si="67"/>
        <v>#DIV/0!</v>
      </c>
      <c r="O304" s="17" t="e">
        <f t="shared" si="68"/>
        <v>#DIV/0!</v>
      </c>
      <c r="P304" s="18" t="e">
        <f t="shared" si="69"/>
        <v>#DIV/0!</v>
      </c>
      <c r="Q304" s="19" t="e">
        <f t="shared" si="70"/>
        <v>#DIV/0!</v>
      </c>
      <c r="R304" s="19" t="e">
        <f t="shared" si="71"/>
        <v>#DIV/0!</v>
      </c>
      <c r="S304" s="20"/>
      <c r="T304" s="20">
        <f>[1]Лист4!B303</f>
        <v>0</v>
      </c>
    </row>
    <row r="305" spans="1:20" ht="15.75" x14ac:dyDescent="0.25">
      <c r="A305" s="11">
        <f>[1]Лист4!A304</f>
        <v>0</v>
      </c>
      <c r="B305" s="12">
        <f>[1]Лист4!C304</f>
        <v>0</v>
      </c>
      <c r="C305" s="13">
        <f>[1]Лист4!D304</f>
        <v>0</v>
      </c>
      <c r="D305" s="14" t="e">
        <f>[1]Лист4!F304</f>
        <v>#DIV/0!</v>
      </c>
      <c r="E305" s="15" t="e">
        <f t="shared" si="60"/>
        <v>#DIV/0!</v>
      </c>
      <c r="F305" s="15" t="e">
        <f t="shared" si="61"/>
        <v>#DIV/0!</v>
      </c>
      <c r="G305" s="16" t="e">
        <f t="shared" si="59"/>
        <v>#DIV/0!</v>
      </c>
      <c r="H305" s="16" t="e">
        <f t="shared" si="62"/>
        <v>#DIV/0!</v>
      </c>
      <c r="I305" s="16" t="e">
        <f t="shared" si="63"/>
        <v>#DIV/0!</v>
      </c>
      <c r="J305" s="16" t="e">
        <f t="shared" si="64"/>
        <v>#DIV/0!</v>
      </c>
      <c r="K305" s="16" t="e">
        <f t="shared" si="65"/>
        <v>#DIV/0!</v>
      </c>
      <c r="L305" s="17" t="e">
        <f t="shared" si="73"/>
        <v>#DIV/0!</v>
      </c>
      <c r="M305" s="16" t="e">
        <f t="shared" si="66"/>
        <v>#DIV/0!</v>
      </c>
      <c r="N305" s="17" t="e">
        <f t="shared" si="67"/>
        <v>#DIV/0!</v>
      </c>
      <c r="O305" s="17" t="e">
        <f t="shared" si="68"/>
        <v>#DIV/0!</v>
      </c>
      <c r="P305" s="18" t="e">
        <f t="shared" si="69"/>
        <v>#DIV/0!</v>
      </c>
      <c r="Q305" s="19" t="e">
        <f t="shared" si="70"/>
        <v>#DIV/0!</v>
      </c>
      <c r="R305" s="19" t="e">
        <f t="shared" si="71"/>
        <v>#DIV/0!</v>
      </c>
      <c r="S305" s="20"/>
      <c r="T305" s="20">
        <f>[1]Лист4!B304</f>
        <v>0</v>
      </c>
    </row>
    <row r="306" spans="1:20" ht="15.75" x14ac:dyDescent="0.25">
      <c r="A306" s="11">
        <f>[1]Лист4!A305</f>
        <v>0</v>
      </c>
      <c r="B306" s="12">
        <f>[1]Лист4!C305</f>
        <v>0</v>
      </c>
      <c r="C306" s="13">
        <f>[1]Лист4!D305</f>
        <v>0</v>
      </c>
      <c r="D306" s="14" t="e">
        <f>[1]Лист4!F305</f>
        <v>#DIV/0!</v>
      </c>
      <c r="E306" s="15" t="e">
        <f t="shared" si="60"/>
        <v>#DIV/0!</v>
      </c>
      <c r="F306" s="15" t="e">
        <f t="shared" si="61"/>
        <v>#DIV/0!</v>
      </c>
      <c r="G306" s="16" t="e">
        <f t="shared" si="59"/>
        <v>#DIV/0!</v>
      </c>
      <c r="H306" s="16" t="e">
        <f t="shared" si="62"/>
        <v>#DIV/0!</v>
      </c>
      <c r="I306" s="16" t="e">
        <f t="shared" si="63"/>
        <v>#DIV/0!</v>
      </c>
      <c r="J306" s="16" t="e">
        <f t="shared" si="64"/>
        <v>#DIV/0!</v>
      </c>
      <c r="K306" s="16" t="e">
        <f t="shared" si="65"/>
        <v>#DIV/0!</v>
      </c>
      <c r="L306" s="17" t="e">
        <f t="shared" si="73"/>
        <v>#DIV/0!</v>
      </c>
      <c r="M306" s="16" t="e">
        <f t="shared" si="66"/>
        <v>#DIV/0!</v>
      </c>
      <c r="N306" s="17" t="e">
        <f t="shared" si="67"/>
        <v>#DIV/0!</v>
      </c>
      <c r="O306" s="17" t="e">
        <f t="shared" si="68"/>
        <v>#DIV/0!</v>
      </c>
      <c r="P306" s="18" t="e">
        <f t="shared" si="69"/>
        <v>#DIV/0!</v>
      </c>
      <c r="Q306" s="19" t="e">
        <f t="shared" si="70"/>
        <v>#DIV/0!</v>
      </c>
      <c r="R306" s="19" t="e">
        <f t="shared" si="71"/>
        <v>#DIV/0!</v>
      </c>
      <c r="S306" s="20"/>
      <c r="T306" s="20">
        <f>[1]Лист4!B305</f>
        <v>0</v>
      </c>
    </row>
    <row r="307" spans="1:20" ht="15.75" x14ac:dyDescent="0.25">
      <c r="A307" s="11">
        <f>[1]Лист4!A306</f>
        <v>0</v>
      </c>
      <c r="B307" s="12">
        <f>[1]Лист4!C306</f>
        <v>0</v>
      </c>
      <c r="C307" s="13">
        <f>[1]Лист4!D306</f>
        <v>0</v>
      </c>
      <c r="D307" s="14" t="e">
        <f>[1]Лист4!F306</f>
        <v>#DIV/0!</v>
      </c>
      <c r="E307" s="15" t="e">
        <f t="shared" si="60"/>
        <v>#DIV/0!</v>
      </c>
      <c r="F307" s="15" t="e">
        <f t="shared" si="61"/>
        <v>#DIV/0!</v>
      </c>
      <c r="G307" s="16" t="e">
        <f t="shared" si="59"/>
        <v>#DIV/0!</v>
      </c>
      <c r="H307" s="16" t="e">
        <f t="shared" si="62"/>
        <v>#DIV/0!</v>
      </c>
      <c r="I307" s="16" t="e">
        <f t="shared" si="63"/>
        <v>#DIV/0!</v>
      </c>
      <c r="J307" s="16" t="e">
        <f t="shared" si="64"/>
        <v>#DIV/0!</v>
      </c>
      <c r="K307" s="16" t="e">
        <f t="shared" si="65"/>
        <v>#DIV/0!</v>
      </c>
      <c r="L307" s="17" t="e">
        <f t="shared" si="73"/>
        <v>#DIV/0!</v>
      </c>
      <c r="M307" s="16" t="e">
        <f t="shared" si="66"/>
        <v>#DIV/0!</v>
      </c>
      <c r="N307" s="17" t="e">
        <f t="shared" si="67"/>
        <v>#DIV/0!</v>
      </c>
      <c r="O307" s="17" t="e">
        <f t="shared" si="68"/>
        <v>#DIV/0!</v>
      </c>
      <c r="P307" s="18" t="e">
        <f t="shared" si="69"/>
        <v>#DIV/0!</v>
      </c>
      <c r="Q307" s="19" t="e">
        <f t="shared" si="70"/>
        <v>#DIV/0!</v>
      </c>
      <c r="R307" s="19" t="e">
        <f t="shared" si="71"/>
        <v>#DIV/0!</v>
      </c>
      <c r="S307" s="20"/>
      <c r="T307" s="20">
        <f>[1]Лист4!B306</f>
        <v>0</v>
      </c>
    </row>
    <row r="308" spans="1:20" ht="15.75" x14ac:dyDescent="0.25">
      <c r="A308" s="11">
        <f>[1]Лист4!A307</f>
        <v>0</v>
      </c>
      <c r="B308" s="12">
        <f>[1]Лист4!C307</f>
        <v>0</v>
      </c>
      <c r="C308" s="13">
        <f>[1]Лист4!D307</f>
        <v>0</v>
      </c>
      <c r="D308" s="14" t="e">
        <f>[1]Лист4!F307</f>
        <v>#DIV/0!</v>
      </c>
      <c r="E308" s="15" t="e">
        <f t="shared" si="60"/>
        <v>#DIV/0!</v>
      </c>
      <c r="F308" s="15" t="e">
        <f t="shared" si="61"/>
        <v>#DIV/0!</v>
      </c>
      <c r="G308" s="16" t="e">
        <f t="shared" si="59"/>
        <v>#DIV/0!</v>
      </c>
      <c r="H308" s="16" t="e">
        <f t="shared" si="62"/>
        <v>#DIV/0!</v>
      </c>
      <c r="I308" s="16" t="e">
        <f t="shared" si="63"/>
        <v>#DIV/0!</v>
      </c>
      <c r="J308" s="16" t="e">
        <f t="shared" si="64"/>
        <v>#DIV/0!</v>
      </c>
      <c r="K308" s="16" t="e">
        <f t="shared" si="65"/>
        <v>#DIV/0!</v>
      </c>
      <c r="L308" s="17" t="e">
        <f t="shared" si="73"/>
        <v>#DIV/0!</v>
      </c>
      <c r="M308" s="16" t="e">
        <f t="shared" si="66"/>
        <v>#DIV/0!</v>
      </c>
      <c r="N308" s="17" t="e">
        <f t="shared" si="67"/>
        <v>#DIV/0!</v>
      </c>
      <c r="O308" s="17" t="e">
        <f t="shared" si="68"/>
        <v>#DIV/0!</v>
      </c>
      <c r="P308" s="18" t="e">
        <f t="shared" si="69"/>
        <v>#DIV/0!</v>
      </c>
      <c r="Q308" s="19" t="e">
        <f t="shared" si="70"/>
        <v>#DIV/0!</v>
      </c>
      <c r="R308" s="19" t="e">
        <f t="shared" si="71"/>
        <v>#DIV/0!</v>
      </c>
      <c r="S308" s="20"/>
      <c r="T308" s="20">
        <f>[1]Лист4!B307</f>
        <v>0</v>
      </c>
    </row>
    <row r="309" spans="1:20" ht="15.75" x14ac:dyDescent="0.25">
      <c r="A309" s="11">
        <f>[1]Лист4!A308</f>
        <v>0</v>
      </c>
      <c r="B309" s="12">
        <f>[1]Лист4!C308</f>
        <v>0</v>
      </c>
      <c r="C309" s="13">
        <f>[1]Лист4!D308</f>
        <v>0</v>
      </c>
      <c r="D309" s="14" t="e">
        <f>[1]Лист4!F308</f>
        <v>#DIV/0!</v>
      </c>
      <c r="E309" s="15" t="e">
        <f t="shared" si="60"/>
        <v>#DIV/0!</v>
      </c>
      <c r="F309" s="15" t="e">
        <f t="shared" si="61"/>
        <v>#DIV/0!</v>
      </c>
      <c r="G309" s="16" t="e">
        <f t="shared" si="59"/>
        <v>#DIV/0!</v>
      </c>
      <c r="H309" s="16" t="e">
        <f t="shared" si="62"/>
        <v>#DIV/0!</v>
      </c>
      <c r="I309" s="16" t="e">
        <f t="shared" si="63"/>
        <v>#DIV/0!</v>
      </c>
      <c r="J309" s="16" t="e">
        <f t="shared" si="64"/>
        <v>#DIV/0!</v>
      </c>
      <c r="K309" s="16" t="e">
        <f t="shared" si="65"/>
        <v>#DIV/0!</v>
      </c>
      <c r="L309" s="17" t="e">
        <f t="shared" si="73"/>
        <v>#DIV/0!</v>
      </c>
      <c r="M309" s="16" t="e">
        <f t="shared" si="66"/>
        <v>#DIV/0!</v>
      </c>
      <c r="N309" s="17" t="e">
        <f t="shared" si="67"/>
        <v>#DIV/0!</v>
      </c>
      <c r="O309" s="17" t="e">
        <f t="shared" si="68"/>
        <v>#DIV/0!</v>
      </c>
      <c r="P309" s="18" t="e">
        <f t="shared" si="69"/>
        <v>#DIV/0!</v>
      </c>
      <c r="Q309" s="19" t="e">
        <f t="shared" si="70"/>
        <v>#DIV/0!</v>
      </c>
      <c r="R309" s="19" t="e">
        <f t="shared" si="71"/>
        <v>#DIV/0!</v>
      </c>
      <c r="S309" s="20"/>
      <c r="T309" s="20">
        <f>[1]Лист4!B308</f>
        <v>0</v>
      </c>
    </row>
    <row r="310" spans="1:20" ht="15.75" x14ac:dyDescent="0.25">
      <c r="A310" s="11">
        <f>[1]Лист4!A309</f>
        <v>0</v>
      </c>
      <c r="B310" s="12">
        <f>[1]Лист4!C309</f>
        <v>0</v>
      </c>
      <c r="C310" s="13">
        <f>[1]Лист4!D309</f>
        <v>0</v>
      </c>
      <c r="D310" s="14" t="e">
        <f>[1]Лист4!F309</f>
        <v>#DIV/0!</v>
      </c>
      <c r="E310" s="15" t="e">
        <f t="shared" si="60"/>
        <v>#DIV/0!</v>
      </c>
      <c r="F310" s="15" t="e">
        <f t="shared" si="61"/>
        <v>#DIV/0!</v>
      </c>
      <c r="G310" s="16" t="e">
        <f t="shared" ref="G310:G373" si="74">ROUND((((D310*1.15)*1.18)+F310+0.14)*1.2,2)</f>
        <v>#DIV/0!</v>
      </c>
      <c r="H310" s="16" t="e">
        <f t="shared" si="62"/>
        <v>#DIV/0!</v>
      </c>
      <c r="I310" s="16" t="e">
        <f t="shared" si="63"/>
        <v>#DIV/0!</v>
      </c>
      <c r="J310" s="16" t="e">
        <f t="shared" si="64"/>
        <v>#DIV/0!</v>
      </c>
      <c r="K310" s="16" t="e">
        <f t="shared" si="65"/>
        <v>#DIV/0!</v>
      </c>
      <c r="L310" s="17" t="e">
        <f t="shared" si="73"/>
        <v>#DIV/0!</v>
      </c>
      <c r="M310" s="16" t="e">
        <f t="shared" si="66"/>
        <v>#DIV/0!</v>
      </c>
      <c r="N310" s="17" t="e">
        <f t="shared" si="67"/>
        <v>#DIV/0!</v>
      </c>
      <c r="O310" s="17" t="e">
        <f t="shared" si="68"/>
        <v>#DIV/0!</v>
      </c>
      <c r="P310" s="18" t="e">
        <f t="shared" si="69"/>
        <v>#DIV/0!</v>
      </c>
      <c r="Q310" s="19" t="e">
        <f t="shared" si="70"/>
        <v>#DIV/0!</v>
      </c>
      <c r="R310" s="19" t="e">
        <f t="shared" si="71"/>
        <v>#DIV/0!</v>
      </c>
      <c r="S310" s="20"/>
      <c r="T310" s="20">
        <f>[1]Лист4!B309</f>
        <v>0</v>
      </c>
    </row>
    <row r="311" spans="1:20" ht="15.75" x14ac:dyDescent="0.25">
      <c r="A311" s="11">
        <f>[1]Лист4!A310</f>
        <v>0</v>
      </c>
      <c r="B311" s="12">
        <f>[1]Лист4!C310</f>
        <v>0</v>
      </c>
      <c r="C311" s="13">
        <f>[1]Лист4!D310</f>
        <v>0</v>
      </c>
      <c r="D311" s="14" t="e">
        <f>[1]Лист4!F310</f>
        <v>#DIV/0!</v>
      </c>
      <c r="E311" s="15" t="e">
        <f t="shared" si="60"/>
        <v>#DIV/0!</v>
      </c>
      <c r="F311" s="15" t="e">
        <f t="shared" si="61"/>
        <v>#DIV/0!</v>
      </c>
      <c r="G311" s="16" t="e">
        <f t="shared" si="74"/>
        <v>#DIV/0!</v>
      </c>
      <c r="H311" s="16" t="e">
        <f t="shared" si="62"/>
        <v>#DIV/0!</v>
      </c>
      <c r="I311" s="16" t="e">
        <f t="shared" si="63"/>
        <v>#DIV/0!</v>
      </c>
      <c r="J311" s="16" t="e">
        <f t="shared" si="64"/>
        <v>#DIV/0!</v>
      </c>
      <c r="K311" s="16" t="e">
        <f t="shared" si="65"/>
        <v>#DIV/0!</v>
      </c>
      <c r="L311" s="17" t="e">
        <f t="shared" si="73"/>
        <v>#DIV/0!</v>
      </c>
      <c r="M311" s="16" t="e">
        <f t="shared" si="66"/>
        <v>#DIV/0!</v>
      </c>
      <c r="N311" s="17" t="e">
        <f t="shared" si="67"/>
        <v>#DIV/0!</v>
      </c>
      <c r="O311" s="17" t="e">
        <f t="shared" si="68"/>
        <v>#DIV/0!</v>
      </c>
      <c r="P311" s="18" t="e">
        <f t="shared" si="69"/>
        <v>#DIV/0!</v>
      </c>
      <c r="Q311" s="19" t="e">
        <f t="shared" si="70"/>
        <v>#DIV/0!</v>
      </c>
      <c r="R311" s="19" t="e">
        <f t="shared" si="71"/>
        <v>#DIV/0!</v>
      </c>
      <c r="S311" s="20"/>
      <c r="T311" s="20">
        <f>[1]Лист4!B310</f>
        <v>0</v>
      </c>
    </row>
    <row r="312" spans="1:20" ht="15.75" x14ac:dyDescent="0.25">
      <c r="A312" s="11">
        <f>[1]Лист4!A311</f>
        <v>0</v>
      </c>
      <c r="B312" s="12">
        <f>[1]Лист4!C311</f>
        <v>0</v>
      </c>
      <c r="C312" s="13">
        <f>[1]Лист4!D311</f>
        <v>0</v>
      </c>
      <c r="D312" s="14" t="e">
        <f>[1]Лист4!F311</f>
        <v>#DIV/0!</v>
      </c>
      <c r="E312" s="15" t="e">
        <f t="shared" si="60"/>
        <v>#DIV/0!</v>
      </c>
      <c r="F312" s="15" t="e">
        <f t="shared" si="61"/>
        <v>#DIV/0!</v>
      </c>
      <c r="G312" s="16" t="e">
        <f t="shared" si="74"/>
        <v>#DIV/0!</v>
      </c>
      <c r="H312" s="16" t="e">
        <f t="shared" si="62"/>
        <v>#DIV/0!</v>
      </c>
      <c r="I312" s="16" t="e">
        <f t="shared" si="63"/>
        <v>#DIV/0!</v>
      </c>
      <c r="J312" s="16" t="e">
        <f t="shared" si="64"/>
        <v>#DIV/0!</v>
      </c>
      <c r="K312" s="16" t="e">
        <f t="shared" si="65"/>
        <v>#DIV/0!</v>
      </c>
      <c r="L312" s="17" t="e">
        <f t="shared" si="73"/>
        <v>#DIV/0!</v>
      </c>
      <c r="M312" s="16" t="e">
        <f t="shared" si="66"/>
        <v>#DIV/0!</v>
      </c>
      <c r="N312" s="17" t="e">
        <f t="shared" si="67"/>
        <v>#DIV/0!</v>
      </c>
      <c r="O312" s="17" t="e">
        <f t="shared" si="68"/>
        <v>#DIV/0!</v>
      </c>
      <c r="P312" s="18" t="e">
        <f t="shared" si="69"/>
        <v>#DIV/0!</v>
      </c>
      <c r="Q312" s="19" t="e">
        <f t="shared" si="70"/>
        <v>#DIV/0!</v>
      </c>
      <c r="R312" s="19" t="e">
        <f t="shared" si="71"/>
        <v>#DIV/0!</v>
      </c>
      <c r="S312" s="20"/>
      <c r="T312" s="20">
        <f>[1]Лист4!B311</f>
        <v>0</v>
      </c>
    </row>
    <row r="313" spans="1:20" ht="15.75" x14ac:dyDescent="0.25">
      <c r="A313" s="11">
        <f>[1]Лист4!A312</f>
        <v>0</v>
      </c>
      <c r="B313" s="12">
        <f>[1]Лист4!C312</f>
        <v>0</v>
      </c>
      <c r="C313" s="13">
        <f>[1]Лист4!D312</f>
        <v>0</v>
      </c>
      <c r="D313" s="14" t="e">
        <f>[1]Лист4!F312</f>
        <v>#DIV/0!</v>
      </c>
      <c r="E313" s="15" t="e">
        <f t="shared" si="60"/>
        <v>#DIV/0!</v>
      </c>
      <c r="F313" s="15" t="e">
        <f t="shared" si="61"/>
        <v>#DIV/0!</v>
      </c>
      <c r="G313" s="16" t="e">
        <f t="shared" si="74"/>
        <v>#DIV/0!</v>
      </c>
      <c r="H313" s="16" t="e">
        <f t="shared" si="62"/>
        <v>#DIV/0!</v>
      </c>
      <c r="I313" s="16" t="e">
        <f t="shared" si="63"/>
        <v>#DIV/0!</v>
      </c>
      <c r="J313" s="16" t="e">
        <f t="shared" si="64"/>
        <v>#DIV/0!</v>
      </c>
      <c r="K313" s="16" t="e">
        <f t="shared" si="65"/>
        <v>#DIV/0!</v>
      </c>
      <c r="L313" s="17" t="e">
        <f t="shared" si="73"/>
        <v>#DIV/0!</v>
      </c>
      <c r="M313" s="16" t="e">
        <f t="shared" si="66"/>
        <v>#DIV/0!</v>
      </c>
      <c r="N313" s="17" t="e">
        <f t="shared" si="67"/>
        <v>#DIV/0!</v>
      </c>
      <c r="O313" s="17" t="e">
        <f t="shared" si="68"/>
        <v>#DIV/0!</v>
      </c>
      <c r="P313" s="18" t="e">
        <f t="shared" si="69"/>
        <v>#DIV/0!</v>
      </c>
      <c r="Q313" s="19" t="e">
        <f t="shared" si="70"/>
        <v>#DIV/0!</v>
      </c>
      <c r="R313" s="19" t="e">
        <f t="shared" si="71"/>
        <v>#DIV/0!</v>
      </c>
      <c r="S313" s="20"/>
      <c r="T313" s="20">
        <f>[1]Лист4!B312</f>
        <v>0</v>
      </c>
    </row>
    <row r="314" spans="1:20" ht="15.75" x14ac:dyDescent="0.25">
      <c r="A314" s="11">
        <f>[1]Лист4!A313</f>
        <v>0</v>
      </c>
      <c r="B314" s="12">
        <f>[1]Лист4!C313</f>
        <v>0</v>
      </c>
      <c r="C314" s="13">
        <f>[1]Лист4!D313</f>
        <v>0</v>
      </c>
      <c r="D314" s="14" t="e">
        <f>[1]Лист4!F313</f>
        <v>#DIV/0!</v>
      </c>
      <c r="E314" s="15" t="e">
        <f t="shared" si="60"/>
        <v>#DIV/0!</v>
      </c>
      <c r="F314" s="15" t="e">
        <f t="shared" si="61"/>
        <v>#DIV/0!</v>
      </c>
      <c r="G314" s="16" t="e">
        <f t="shared" si="74"/>
        <v>#DIV/0!</v>
      </c>
      <c r="H314" s="16" t="e">
        <f t="shared" si="62"/>
        <v>#DIV/0!</v>
      </c>
      <c r="I314" s="16" t="e">
        <f t="shared" si="63"/>
        <v>#DIV/0!</v>
      </c>
      <c r="J314" s="16" t="e">
        <f t="shared" si="64"/>
        <v>#DIV/0!</v>
      </c>
      <c r="K314" s="16" t="e">
        <f t="shared" si="65"/>
        <v>#DIV/0!</v>
      </c>
      <c r="L314" s="17" t="e">
        <f t="shared" si="73"/>
        <v>#DIV/0!</v>
      </c>
      <c r="M314" s="16" t="e">
        <f t="shared" si="66"/>
        <v>#DIV/0!</v>
      </c>
      <c r="N314" s="17" t="e">
        <f t="shared" si="67"/>
        <v>#DIV/0!</v>
      </c>
      <c r="O314" s="17" t="e">
        <f t="shared" si="68"/>
        <v>#DIV/0!</v>
      </c>
      <c r="P314" s="18" t="e">
        <f t="shared" si="69"/>
        <v>#DIV/0!</v>
      </c>
      <c r="Q314" s="19" t="e">
        <f t="shared" si="70"/>
        <v>#DIV/0!</v>
      </c>
      <c r="R314" s="19" t="e">
        <f t="shared" si="71"/>
        <v>#DIV/0!</v>
      </c>
      <c r="S314" s="20"/>
      <c r="T314" s="20">
        <f>[1]Лист4!B313</f>
        <v>0</v>
      </c>
    </row>
    <row r="315" spans="1:20" ht="15.75" x14ac:dyDescent="0.25">
      <c r="A315" s="11">
        <f>[1]Лист4!A314</f>
        <v>0</v>
      </c>
      <c r="B315" s="12">
        <f>[1]Лист4!C314</f>
        <v>0</v>
      </c>
      <c r="C315" s="13">
        <f>[1]Лист4!D314</f>
        <v>0</v>
      </c>
      <c r="D315" s="14" t="e">
        <f>[1]Лист4!F314</f>
        <v>#DIV/0!</v>
      </c>
      <c r="E315" s="15" t="e">
        <f t="shared" si="60"/>
        <v>#DIV/0!</v>
      </c>
      <c r="F315" s="15" t="e">
        <f t="shared" si="61"/>
        <v>#DIV/0!</v>
      </c>
      <c r="G315" s="16" t="e">
        <f t="shared" si="74"/>
        <v>#DIV/0!</v>
      </c>
      <c r="H315" s="16" t="e">
        <f t="shared" si="62"/>
        <v>#DIV/0!</v>
      </c>
      <c r="I315" s="16" t="e">
        <f t="shared" si="63"/>
        <v>#DIV/0!</v>
      </c>
      <c r="J315" s="16" t="e">
        <f t="shared" si="64"/>
        <v>#DIV/0!</v>
      </c>
      <c r="K315" s="16" t="e">
        <f t="shared" si="65"/>
        <v>#DIV/0!</v>
      </c>
      <c r="L315" s="17" t="e">
        <f t="shared" si="73"/>
        <v>#DIV/0!</v>
      </c>
      <c r="M315" s="16" t="e">
        <f t="shared" si="66"/>
        <v>#DIV/0!</v>
      </c>
      <c r="N315" s="17" t="e">
        <f t="shared" si="67"/>
        <v>#DIV/0!</v>
      </c>
      <c r="O315" s="17" t="e">
        <f t="shared" si="68"/>
        <v>#DIV/0!</v>
      </c>
      <c r="P315" s="18" t="e">
        <f t="shared" si="69"/>
        <v>#DIV/0!</v>
      </c>
      <c r="Q315" s="19" t="e">
        <f t="shared" si="70"/>
        <v>#DIV/0!</v>
      </c>
      <c r="R315" s="19" t="e">
        <f t="shared" si="71"/>
        <v>#DIV/0!</v>
      </c>
      <c r="S315" s="20"/>
      <c r="T315" s="20">
        <f>[1]Лист4!B314</f>
        <v>0</v>
      </c>
    </row>
    <row r="316" spans="1:20" ht="15.75" x14ac:dyDescent="0.25">
      <c r="A316" s="11">
        <f>[1]Лист4!A315</f>
        <v>0</v>
      </c>
      <c r="B316" s="12">
        <f>[1]Лист4!C315</f>
        <v>0</v>
      </c>
      <c r="C316" s="13">
        <f>[1]Лист4!D315</f>
        <v>0</v>
      </c>
      <c r="D316" s="14" t="e">
        <f>[1]Лист4!F315</f>
        <v>#DIV/0!</v>
      </c>
      <c r="E316" s="15" t="e">
        <f t="shared" si="60"/>
        <v>#DIV/0!</v>
      </c>
      <c r="F316" s="15" t="e">
        <f t="shared" si="61"/>
        <v>#DIV/0!</v>
      </c>
      <c r="G316" s="16" t="e">
        <f t="shared" si="74"/>
        <v>#DIV/0!</v>
      </c>
      <c r="H316" s="16" t="e">
        <f t="shared" si="62"/>
        <v>#DIV/0!</v>
      </c>
      <c r="I316" s="16" t="e">
        <f t="shared" si="63"/>
        <v>#DIV/0!</v>
      </c>
      <c r="J316" s="16" t="e">
        <f t="shared" si="64"/>
        <v>#DIV/0!</v>
      </c>
      <c r="K316" s="16" t="e">
        <f t="shared" si="65"/>
        <v>#DIV/0!</v>
      </c>
      <c r="L316" s="17" t="e">
        <f t="shared" si="73"/>
        <v>#DIV/0!</v>
      </c>
      <c r="M316" s="16" t="e">
        <f t="shared" si="66"/>
        <v>#DIV/0!</v>
      </c>
      <c r="N316" s="17" t="e">
        <f t="shared" si="67"/>
        <v>#DIV/0!</v>
      </c>
      <c r="O316" s="17" t="e">
        <f t="shared" si="68"/>
        <v>#DIV/0!</v>
      </c>
      <c r="P316" s="18" t="e">
        <f t="shared" si="69"/>
        <v>#DIV/0!</v>
      </c>
      <c r="Q316" s="19" t="e">
        <f t="shared" si="70"/>
        <v>#DIV/0!</v>
      </c>
      <c r="R316" s="19" t="e">
        <f t="shared" si="71"/>
        <v>#DIV/0!</v>
      </c>
      <c r="S316" s="20"/>
      <c r="T316" s="20">
        <f>[1]Лист4!B315</f>
        <v>0</v>
      </c>
    </row>
    <row r="317" spans="1:20" ht="15.75" x14ac:dyDescent="0.25">
      <c r="A317" s="11">
        <f>[1]Лист4!A316</f>
        <v>0</v>
      </c>
      <c r="B317" s="12">
        <f>[1]Лист4!C316</f>
        <v>0</v>
      </c>
      <c r="C317" s="13">
        <f>[1]Лист4!D316</f>
        <v>0</v>
      </c>
      <c r="D317" s="14" t="e">
        <f>[1]Лист4!F316</f>
        <v>#DIV/0!</v>
      </c>
      <c r="E317" s="15" t="e">
        <f t="shared" si="60"/>
        <v>#DIV/0!</v>
      </c>
      <c r="F317" s="15" t="e">
        <f t="shared" si="61"/>
        <v>#DIV/0!</v>
      </c>
      <c r="G317" s="16" t="e">
        <f t="shared" si="74"/>
        <v>#DIV/0!</v>
      </c>
      <c r="H317" s="16" t="e">
        <f t="shared" si="62"/>
        <v>#DIV/0!</v>
      </c>
      <c r="I317" s="16" t="e">
        <f t="shared" si="63"/>
        <v>#DIV/0!</v>
      </c>
      <c r="J317" s="16" t="e">
        <f t="shared" si="64"/>
        <v>#DIV/0!</v>
      </c>
      <c r="K317" s="16" t="e">
        <f t="shared" si="65"/>
        <v>#DIV/0!</v>
      </c>
      <c r="L317" s="17" t="e">
        <f t="shared" si="73"/>
        <v>#DIV/0!</v>
      </c>
      <c r="M317" s="16" t="e">
        <f t="shared" si="66"/>
        <v>#DIV/0!</v>
      </c>
      <c r="N317" s="17" t="e">
        <f t="shared" si="67"/>
        <v>#DIV/0!</v>
      </c>
      <c r="O317" s="17" t="e">
        <f t="shared" si="68"/>
        <v>#DIV/0!</v>
      </c>
      <c r="P317" s="18" t="e">
        <f t="shared" si="69"/>
        <v>#DIV/0!</v>
      </c>
      <c r="Q317" s="19" t="e">
        <f t="shared" si="70"/>
        <v>#DIV/0!</v>
      </c>
      <c r="R317" s="19" t="e">
        <f t="shared" si="71"/>
        <v>#DIV/0!</v>
      </c>
      <c r="S317" s="20"/>
      <c r="T317" s="20">
        <f>[1]Лист4!B316</f>
        <v>0</v>
      </c>
    </row>
    <row r="318" spans="1:20" ht="15.75" x14ac:dyDescent="0.25">
      <c r="A318" s="11">
        <f>[1]Лист4!A317</f>
        <v>0</v>
      </c>
      <c r="B318" s="12">
        <f>[1]Лист4!C317</f>
        <v>0</v>
      </c>
      <c r="C318" s="13">
        <f>[1]Лист4!D317</f>
        <v>0</v>
      </c>
      <c r="D318" s="14" t="e">
        <f>[1]Лист4!F317</f>
        <v>#DIV/0!</v>
      </c>
      <c r="E318" s="15" t="e">
        <f t="shared" si="60"/>
        <v>#DIV/0!</v>
      </c>
      <c r="F318" s="15" t="e">
        <f t="shared" si="61"/>
        <v>#DIV/0!</v>
      </c>
      <c r="G318" s="16" t="e">
        <f t="shared" si="74"/>
        <v>#DIV/0!</v>
      </c>
      <c r="H318" s="16" t="e">
        <f t="shared" si="62"/>
        <v>#DIV/0!</v>
      </c>
      <c r="I318" s="16" t="e">
        <f t="shared" si="63"/>
        <v>#DIV/0!</v>
      </c>
      <c r="J318" s="16" t="e">
        <f t="shared" si="64"/>
        <v>#DIV/0!</v>
      </c>
      <c r="K318" s="16" t="e">
        <f t="shared" si="65"/>
        <v>#DIV/0!</v>
      </c>
      <c r="L318" s="17" t="e">
        <f t="shared" si="73"/>
        <v>#DIV/0!</v>
      </c>
      <c r="M318" s="16" t="e">
        <f t="shared" si="66"/>
        <v>#DIV/0!</v>
      </c>
      <c r="N318" s="17" t="e">
        <f t="shared" si="67"/>
        <v>#DIV/0!</v>
      </c>
      <c r="O318" s="17" t="e">
        <f t="shared" si="68"/>
        <v>#DIV/0!</v>
      </c>
      <c r="P318" s="18" t="e">
        <f t="shared" si="69"/>
        <v>#DIV/0!</v>
      </c>
      <c r="Q318" s="19" t="e">
        <f t="shared" si="70"/>
        <v>#DIV/0!</v>
      </c>
      <c r="R318" s="19" t="e">
        <f t="shared" si="71"/>
        <v>#DIV/0!</v>
      </c>
      <c r="S318" s="20"/>
      <c r="T318" s="20">
        <f>[1]Лист4!B317</f>
        <v>0</v>
      </c>
    </row>
    <row r="319" spans="1:20" ht="15.75" x14ac:dyDescent="0.25">
      <c r="A319" s="11">
        <f>[1]Лист4!A318</f>
        <v>0</v>
      </c>
      <c r="B319" s="12">
        <f>[1]Лист4!C318</f>
        <v>0</v>
      </c>
      <c r="C319" s="13">
        <f>[1]Лист4!D318</f>
        <v>0</v>
      </c>
      <c r="D319" s="14" t="e">
        <f>[1]Лист4!F318</f>
        <v>#DIV/0!</v>
      </c>
      <c r="E319" s="15" t="e">
        <f t="shared" si="60"/>
        <v>#DIV/0!</v>
      </c>
      <c r="F319" s="15" t="e">
        <f t="shared" si="61"/>
        <v>#DIV/0!</v>
      </c>
      <c r="G319" s="16" t="e">
        <f t="shared" si="74"/>
        <v>#DIV/0!</v>
      </c>
      <c r="H319" s="16" t="e">
        <f t="shared" si="62"/>
        <v>#DIV/0!</v>
      </c>
      <c r="I319" s="16" t="e">
        <f t="shared" si="63"/>
        <v>#DIV/0!</v>
      </c>
      <c r="J319" s="16" t="e">
        <f t="shared" si="64"/>
        <v>#DIV/0!</v>
      </c>
      <c r="K319" s="16" t="e">
        <f t="shared" si="65"/>
        <v>#DIV/0!</v>
      </c>
      <c r="L319" s="17" t="e">
        <f t="shared" si="73"/>
        <v>#DIV/0!</v>
      </c>
      <c r="M319" s="16" t="e">
        <f t="shared" si="66"/>
        <v>#DIV/0!</v>
      </c>
      <c r="N319" s="17" t="e">
        <f t="shared" si="67"/>
        <v>#DIV/0!</v>
      </c>
      <c r="O319" s="17" t="e">
        <f t="shared" si="68"/>
        <v>#DIV/0!</v>
      </c>
      <c r="P319" s="18" t="e">
        <f t="shared" si="69"/>
        <v>#DIV/0!</v>
      </c>
      <c r="Q319" s="19" t="e">
        <f t="shared" si="70"/>
        <v>#DIV/0!</v>
      </c>
      <c r="R319" s="19" t="e">
        <f t="shared" si="71"/>
        <v>#DIV/0!</v>
      </c>
      <c r="S319" s="20"/>
      <c r="T319" s="20">
        <f>[1]Лист4!B318</f>
        <v>0</v>
      </c>
    </row>
    <row r="320" spans="1:20" ht="15.75" x14ac:dyDescent="0.25">
      <c r="A320" s="11">
        <f>[1]Лист4!A319</f>
        <v>0</v>
      </c>
      <c r="B320" s="12">
        <f>[1]Лист4!C319</f>
        <v>0</v>
      </c>
      <c r="C320" s="13">
        <f>[1]Лист4!D319</f>
        <v>0</v>
      </c>
      <c r="D320" s="14" t="e">
        <f>[1]Лист4!F319</f>
        <v>#DIV/0!</v>
      </c>
      <c r="E320" s="15" t="e">
        <f t="shared" si="60"/>
        <v>#DIV/0!</v>
      </c>
      <c r="F320" s="15" t="e">
        <f t="shared" si="61"/>
        <v>#DIV/0!</v>
      </c>
      <c r="G320" s="16" t="e">
        <f t="shared" si="74"/>
        <v>#DIV/0!</v>
      </c>
      <c r="H320" s="16" t="e">
        <f t="shared" si="62"/>
        <v>#DIV/0!</v>
      </c>
      <c r="I320" s="16" t="e">
        <f t="shared" si="63"/>
        <v>#DIV/0!</v>
      </c>
      <c r="J320" s="16" t="e">
        <f t="shared" si="64"/>
        <v>#DIV/0!</v>
      </c>
      <c r="K320" s="16" t="e">
        <f t="shared" si="65"/>
        <v>#DIV/0!</v>
      </c>
      <c r="L320" s="17" t="e">
        <f t="shared" si="73"/>
        <v>#DIV/0!</v>
      </c>
      <c r="M320" s="16" t="e">
        <f t="shared" si="66"/>
        <v>#DIV/0!</v>
      </c>
      <c r="N320" s="17" t="e">
        <f t="shared" si="67"/>
        <v>#DIV/0!</v>
      </c>
      <c r="O320" s="17" t="e">
        <f t="shared" si="68"/>
        <v>#DIV/0!</v>
      </c>
      <c r="P320" s="18" t="e">
        <f t="shared" si="69"/>
        <v>#DIV/0!</v>
      </c>
      <c r="Q320" s="19" t="e">
        <f t="shared" si="70"/>
        <v>#DIV/0!</v>
      </c>
      <c r="R320" s="19" t="e">
        <f t="shared" si="71"/>
        <v>#DIV/0!</v>
      </c>
      <c r="S320" s="20"/>
      <c r="T320" s="20">
        <f>[1]Лист4!B319</f>
        <v>0</v>
      </c>
    </row>
    <row r="321" spans="1:20" ht="15.75" x14ac:dyDescent="0.25">
      <c r="A321" s="11">
        <f>[1]Лист4!A320</f>
        <v>0</v>
      </c>
      <c r="B321" s="12">
        <f>[1]Лист4!C320</f>
        <v>0</v>
      </c>
      <c r="C321" s="13">
        <f>[1]Лист4!D320</f>
        <v>0</v>
      </c>
      <c r="D321" s="14" t="e">
        <f>[1]Лист4!F320</f>
        <v>#DIV/0!</v>
      </c>
      <c r="E321" s="15" t="e">
        <f t="shared" si="60"/>
        <v>#DIV/0!</v>
      </c>
      <c r="F321" s="15" t="e">
        <f t="shared" si="61"/>
        <v>#DIV/0!</v>
      </c>
      <c r="G321" s="16" t="e">
        <f t="shared" si="74"/>
        <v>#DIV/0!</v>
      </c>
      <c r="H321" s="16" t="e">
        <f t="shared" si="62"/>
        <v>#DIV/0!</v>
      </c>
      <c r="I321" s="16" t="e">
        <f t="shared" si="63"/>
        <v>#DIV/0!</v>
      </c>
      <c r="J321" s="16" t="e">
        <f t="shared" si="64"/>
        <v>#DIV/0!</v>
      </c>
      <c r="K321" s="16" t="e">
        <f t="shared" si="65"/>
        <v>#DIV/0!</v>
      </c>
      <c r="L321" s="17" t="e">
        <f t="shared" si="73"/>
        <v>#DIV/0!</v>
      </c>
      <c r="M321" s="16" t="e">
        <f t="shared" si="66"/>
        <v>#DIV/0!</v>
      </c>
      <c r="N321" s="17" t="e">
        <f t="shared" si="67"/>
        <v>#DIV/0!</v>
      </c>
      <c r="O321" s="17" t="e">
        <f t="shared" si="68"/>
        <v>#DIV/0!</v>
      </c>
      <c r="P321" s="18" t="e">
        <f t="shared" si="69"/>
        <v>#DIV/0!</v>
      </c>
      <c r="Q321" s="19" t="e">
        <f t="shared" si="70"/>
        <v>#DIV/0!</v>
      </c>
      <c r="R321" s="19" t="e">
        <f t="shared" si="71"/>
        <v>#DIV/0!</v>
      </c>
      <c r="S321" s="20"/>
      <c r="T321" s="20">
        <f>[1]Лист4!B320</f>
        <v>0</v>
      </c>
    </row>
    <row r="322" spans="1:20" ht="15.75" x14ac:dyDescent="0.25">
      <c r="A322" s="11">
        <f>[1]Лист4!A321</f>
        <v>0</v>
      </c>
      <c r="B322" s="12">
        <f>[1]Лист4!C321</f>
        <v>0</v>
      </c>
      <c r="C322" s="13">
        <f>[1]Лист4!D321</f>
        <v>0</v>
      </c>
      <c r="D322" s="14" t="e">
        <f>[1]Лист4!F321</f>
        <v>#DIV/0!</v>
      </c>
      <c r="E322" s="15" t="e">
        <f t="shared" si="60"/>
        <v>#DIV/0!</v>
      </c>
      <c r="F322" s="15" t="e">
        <f t="shared" si="61"/>
        <v>#DIV/0!</v>
      </c>
      <c r="G322" s="16" t="e">
        <f t="shared" si="74"/>
        <v>#DIV/0!</v>
      </c>
      <c r="H322" s="16" t="e">
        <f t="shared" si="62"/>
        <v>#DIV/0!</v>
      </c>
      <c r="I322" s="16" t="e">
        <f t="shared" si="63"/>
        <v>#DIV/0!</v>
      </c>
      <c r="J322" s="16" t="e">
        <f t="shared" si="64"/>
        <v>#DIV/0!</v>
      </c>
      <c r="K322" s="16" t="e">
        <f t="shared" si="65"/>
        <v>#DIV/0!</v>
      </c>
      <c r="L322" s="17" t="e">
        <f t="shared" si="73"/>
        <v>#DIV/0!</v>
      </c>
      <c r="M322" s="16" t="e">
        <f t="shared" si="66"/>
        <v>#DIV/0!</v>
      </c>
      <c r="N322" s="17" t="e">
        <f t="shared" si="67"/>
        <v>#DIV/0!</v>
      </c>
      <c r="O322" s="17" t="e">
        <f t="shared" si="68"/>
        <v>#DIV/0!</v>
      </c>
      <c r="P322" s="18" t="e">
        <f t="shared" si="69"/>
        <v>#DIV/0!</v>
      </c>
      <c r="Q322" s="19" t="e">
        <f t="shared" si="70"/>
        <v>#DIV/0!</v>
      </c>
      <c r="R322" s="19" t="e">
        <f t="shared" si="71"/>
        <v>#DIV/0!</v>
      </c>
      <c r="S322" s="20"/>
      <c r="T322" s="20">
        <f>[1]Лист4!B321</f>
        <v>0</v>
      </c>
    </row>
    <row r="323" spans="1:20" ht="15.75" x14ac:dyDescent="0.25">
      <c r="A323" s="11">
        <f>[1]Лист4!A322</f>
        <v>0</v>
      </c>
      <c r="B323" s="12">
        <f>[1]Лист4!C322</f>
        <v>0</v>
      </c>
      <c r="C323" s="13">
        <f>[1]Лист4!D322</f>
        <v>0</v>
      </c>
      <c r="D323" s="14" t="e">
        <f>[1]Лист4!F322</f>
        <v>#DIV/0!</v>
      </c>
      <c r="E323" s="15" t="e">
        <f t="shared" ref="E323:E386" si="75">D323*C323</f>
        <v>#DIV/0!</v>
      </c>
      <c r="F323" s="15" t="e">
        <f t="shared" ref="F323:F386" si="76">D323*1.18*0.07</f>
        <v>#DIV/0!</v>
      </c>
      <c r="G323" s="16" t="e">
        <f t="shared" si="74"/>
        <v>#DIV/0!</v>
      </c>
      <c r="H323" s="16" t="e">
        <f t="shared" ref="H323:H386" si="77">ROUNDUP(G323*1.04*$N$1,2)</f>
        <v>#DIV/0!</v>
      </c>
      <c r="I323" s="16" t="e">
        <f t="shared" ref="I323:I386" si="78">ROUNDUP(G323*1.2*$N$1,2)</f>
        <v>#DIV/0!</v>
      </c>
      <c r="J323" s="16" t="e">
        <f t="shared" ref="J323:J386" si="79">ROUNDUP(G323*1.03*$N$1,2)</f>
        <v>#DIV/0!</v>
      </c>
      <c r="K323" s="16" t="e">
        <f t="shared" ref="K323:K386" si="80">N323*0.95</f>
        <v>#DIV/0!</v>
      </c>
      <c r="L323" s="17" t="e">
        <f t="shared" si="73"/>
        <v>#DIV/0!</v>
      </c>
      <c r="M323" s="16" t="e">
        <f t="shared" ref="M323:M386" si="81">ROUNDUP(L323*0.88,2)</f>
        <v>#DIV/0!</v>
      </c>
      <c r="N323" s="17" t="e">
        <f t="shared" ref="N323:N386" si="82">ROUNDUP(L323*$N$1,2)</f>
        <v>#DIV/0!</v>
      </c>
      <c r="O323" s="17" t="e">
        <f t="shared" ref="O323:O386" si="83">ROUNDUP(N323*0.88,2)</f>
        <v>#DIV/0!</v>
      </c>
      <c r="P323" s="18" t="e">
        <f t="shared" ref="P323:P386" si="84">G323*C323</f>
        <v>#DIV/0!</v>
      </c>
      <c r="Q323" s="19" t="e">
        <f t="shared" ref="Q323:Q386" si="85">L323*C323</f>
        <v>#DIV/0!</v>
      </c>
      <c r="R323" s="19" t="e">
        <f t="shared" ref="R323:R386" si="86">Q323-P323</f>
        <v>#DIV/0!</v>
      </c>
      <c r="S323" s="20"/>
      <c r="T323" s="20">
        <f>[1]Лист4!B322</f>
        <v>0</v>
      </c>
    </row>
    <row r="324" spans="1:20" ht="15.75" x14ac:dyDescent="0.25">
      <c r="A324" s="11">
        <f>[1]Лист4!A323</f>
        <v>0</v>
      </c>
      <c r="B324" s="12">
        <f>[1]Лист4!C323</f>
        <v>0</v>
      </c>
      <c r="C324" s="13">
        <f>[1]Лист4!D323</f>
        <v>0</v>
      </c>
      <c r="D324" s="14" t="e">
        <f>[1]Лист4!F323</f>
        <v>#DIV/0!</v>
      </c>
      <c r="E324" s="15" t="e">
        <f t="shared" si="75"/>
        <v>#DIV/0!</v>
      </c>
      <c r="F324" s="15" t="e">
        <f t="shared" si="76"/>
        <v>#DIV/0!</v>
      </c>
      <c r="G324" s="16" t="e">
        <f t="shared" si="74"/>
        <v>#DIV/0!</v>
      </c>
      <c r="H324" s="16" t="e">
        <f t="shared" si="77"/>
        <v>#DIV/0!</v>
      </c>
      <c r="I324" s="16" t="e">
        <f t="shared" si="78"/>
        <v>#DIV/0!</v>
      </c>
      <c r="J324" s="16" t="e">
        <f t="shared" si="79"/>
        <v>#DIV/0!</v>
      </c>
      <c r="K324" s="16" t="e">
        <f t="shared" si="80"/>
        <v>#DIV/0!</v>
      </c>
      <c r="L324" s="17" t="e">
        <f t="shared" si="73"/>
        <v>#DIV/0!</v>
      </c>
      <c r="M324" s="16" t="e">
        <f t="shared" si="81"/>
        <v>#DIV/0!</v>
      </c>
      <c r="N324" s="17" t="e">
        <f t="shared" si="82"/>
        <v>#DIV/0!</v>
      </c>
      <c r="O324" s="17" t="e">
        <f t="shared" si="83"/>
        <v>#DIV/0!</v>
      </c>
      <c r="P324" s="18" t="e">
        <f t="shared" si="84"/>
        <v>#DIV/0!</v>
      </c>
      <c r="Q324" s="19" t="e">
        <f t="shared" si="85"/>
        <v>#DIV/0!</v>
      </c>
      <c r="R324" s="19" t="e">
        <f t="shared" si="86"/>
        <v>#DIV/0!</v>
      </c>
      <c r="S324" s="20"/>
      <c r="T324" s="20">
        <f>[1]Лист4!B323</f>
        <v>0</v>
      </c>
    </row>
    <row r="325" spans="1:20" ht="15.75" x14ac:dyDescent="0.25">
      <c r="A325" s="11">
        <f>[1]Лист4!A324</f>
        <v>0</v>
      </c>
      <c r="B325" s="12">
        <f>[1]Лист4!C324</f>
        <v>0</v>
      </c>
      <c r="C325" s="13">
        <f>[1]Лист4!D324</f>
        <v>0</v>
      </c>
      <c r="D325" s="14" t="e">
        <f>[1]Лист4!F324</f>
        <v>#DIV/0!</v>
      </c>
      <c r="E325" s="15" t="e">
        <f t="shared" si="75"/>
        <v>#DIV/0!</v>
      </c>
      <c r="F325" s="15" t="e">
        <f t="shared" si="76"/>
        <v>#DIV/0!</v>
      </c>
      <c r="G325" s="16" t="e">
        <f t="shared" si="74"/>
        <v>#DIV/0!</v>
      </c>
      <c r="H325" s="16" t="e">
        <f t="shared" si="77"/>
        <v>#DIV/0!</v>
      </c>
      <c r="I325" s="16" t="e">
        <f t="shared" si="78"/>
        <v>#DIV/0!</v>
      </c>
      <c r="J325" s="16" t="e">
        <f t="shared" si="79"/>
        <v>#DIV/0!</v>
      </c>
      <c r="K325" s="16" t="e">
        <f t="shared" si="80"/>
        <v>#DIV/0!</v>
      </c>
      <c r="L325" s="17" t="e">
        <f t="shared" si="73"/>
        <v>#DIV/0!</v>
      </c>
      <c r="M325" s="16" t="e">
        <f t="shared" si="81"/>
        <v>#DIV/0!</v>
      </c>
      <c r="N325" s="17" t="e">
        <f t="shared" si="82"/>
        <v>#DIV/0!</v>
      </c>
      <c r="O325" s="17" t="e">
        <f t="shared" si="83"/>
        <v>#DIV/0!</v>
      </c>
      <c r="P325" s="18" t="e">
        <f t="shared" si="84"/>
        <v>#DIV/0!</v>
      </c>
      <c r="Q325" s="19" t="e">
        <f t="shared" si="85"/>
        <v>#DIV/0!</v>
      </c>
      <c r="R325" s="19" t="e">
        <f t="shared" si="86"/>
        <v>#DIV/0!</v>
      </c>
      <c r="S325" s="20"/>
      <c r="T325" s="20">
        <f>[1]Лист4!B324</f>
        <v>0</v>
      </c>
    </row>
    <row r="326" spans="1:20" ht="15.75" x14ac:dyDescent="0.25">
      <c r="A326" s="11">
        <f>[1]Лист4!A325</f>
        <v>0</v>
      </c>
      <c r="B326" s="12">
        <f>[1]Лист4!C325</f>
        <v>0</v>
      </c>
      <c r="C326" s="13">
        <f>[1]Лист4!D325</f>
        <v>0</v>
      </c>
      <c r="D326" s="14" t="e">
        <f>[1]Лист4!F325</f>
        <v>#DIV/0!</v>
      </c>
      <c r="E326" s="15" t="e">
        <f t="shared" si="75"/>
        <v>#DIV/0!</v>
      </c>
      <c r="F326" s="15" t="e">
        <f t="shared" si="76"/>
        <v>#DIV/0!</v>
      </c>
      <c r="G326" s="16" t="e">
        <f t="shared" si="74"/>
        <v>#DIV/0!</v>
      </c>
      <c r="H326" s="16" t="e">
        <f t="shared" si="77"/>
        <v>#DIV/0!</v>
      </c>
      <c r="I326" s="16" t="e">
        <f t="shared" si="78"/>
        <v>#DIV/0!</v>
      </c>
      <c r="J326" s="16" t="e">
        <f t="shared" si="79"/>
        <v>#DIV/0!</v>
      </c>
      <c r="K326" s="16" t="e">
        <f t="shared" si="80"/>
        <v>#DIV/0!</v>
      </c>
      <c r="L326" s="17" t="e">
        <f t="shared" si="73"/>
        <v>#DIV/0!</v>
      </c>
      <c r="M326" s="16" t="e">
        <f t="shared" si="81"/>
        <v>#DIV/0!</v>
      </c>
      <c r="N326" s="17" t="e">
        <f t="shared" si="82"/>
        <v>#DIV/0!</v>
      </c>
      <c r="O326" s="17" t="e">
        <f t="shared" si="83"/>
        <v>#DIV/0!</v>
      </c>
      <c r="P326" s="18" t="e">
        <f t="shared" si="84"/>
        <v>#DIV/0!</v>
      </c>
      <c r="Q326" s="19" t="e">
        <f t="shared" si="85"/>
        <v>#DIV/0!</v>
      </c>
      <c r="R326" s="19" t="e">
        <f t="shared" si="86"/>
        <v>#DIV/0!</v>
      </c>
      <c r="S326" s="20"/>
      <c r="T326" s="20">
        <f>[1]Лист4!B325</f>
        <v>0</v>
      </c>
    </row>
    <row r="327" spans="1:20" ht="15.75" x14ac:dyDescent="0.25">
      <c r="A327" s="11">
        <f>[1]Лист4!A326</f>
        <v>0</v>
      </c>
      <c r="B327" s="12">
        <f>[1]Лист4!C326</f>
        <v>0</v>
      </c>
      <c r="C327" s="13">
        <f>[1]Лист4!D326</f>
        <v>0</v>
      </c>
      <c r="D327" s="14" t="e">
        <f>[1]Лист4!F326</f>
        <v>#DIV/0!</v>
      </c>
      <c r="E327" s="15" t="e">
        <f t="shared" si="75"/>
        <v>#DIV/0!</v>
      </c>
      <c r="F327" s="15" t="e">
        <f t="shared" si="76"/>
        <v>#DIV/0!</v>
      </c>
      <c r="G327" s="16" t="e">
        <f t="shared" si="74"/>
        <v>#DIV/0!</v>
      </c>
      <c r="H327" s="16" t="e">
        <f t="shared" si="77"/>
        <v>#DIV/0!</v>
      </c>
      <c r="I327" s="16" t="e">
        <f t="shared" si="78"/>
        <v>#DIV/0!</v>
      </c>
      <c r="J327" s="16" t="e">
        <f t="shared" si="79"/>
        <v>#DIV/0!</v>
      </c>
      <c r="K327" s="16" t="e">
        <f t="shared" si="80"/>
        <v>#DIV/0!</v>
      </c>
      <c r="L327" s="17" t="e">
        <f t="shared" si="73"/>
        <v>#DIV/0!</v>
      </c>
      <c r="M327" s="16" t="e">
        <f t="shared" si="81"/>
        <v>#DIV/0!</v>
      </c>
      <c r="N327" s="17" t="e">
        <f t="shared" si="82"/>
        <v>#DIV/0!</v>
      </c>
      <c r="O327" s="17" t="e">
        <f t="shared" si="83"/>
        <v>#DIV/0!</v>
      </c>
      <c r="P327" s="18" t="e">
        <f t="shared" si="84"/>
        <v>#DIV/0!</v>
      </c>
      <c r="Q327" s="19" t="e">
        <f t="shared" si="85"/>
        <v>#DIV/0!</v>
      </c>
      <c r="R327" s="19" t="e">
        <f t="shared" si="86"/>
        <v>#DIV/0!</v>
      </c>
      <c r="S327" s="20"/>
      <c r="T327" s="20">
        <f>[1]Лист4!B326</f>
        <v>0</v>
      </c>
    </row>
    <row r="328" spans="1:20" ht="15.75" x14ac:dyDescent="0.25">
      <c r="A328" s="11">
        <f>[1]Лист4!A327</f>
        <v>0</v>
      </c>
      <c r="B328" s="12">
        <f>[1]Лист4!C327</f>
        <v>0</v>
      </c>
      <c r="C328" s="13">
        <f>[1]Лист4!D327</f>
        <v>0</v>
      </c>
      <c r="D328" s="14" t="e">
        <f>[1]Лист4!F327</f>
        <v>#DIV/0!</v>
      </c>
      <c r="E328" s="15" t="e">
        <f t="shared" si="75"/>
        <v>#DIV/0!</v>
      </c>
      <c r="F328" s="15" t="e">
        <f t="shared" si="76"/>
        <v>#DIV/0!</v>
      </c>
      <c r="G328" s="16" t="e">
        <f t="shared" si="74"/>
        <v>#DIV/0!</v>
      </c>
      <c r="H328" s="16" t="e">
        <f t="shared" si="77"/>
        <v>#DIV/0!</v>
      </c>
      <c r="I328" s="16" t="e">
        <f t="shared" si="78"/>
        <v>#DIV/0!</v>
      </c>
      <c r="J328" s="16" t="e">
        <f t="shared" si="79"/>
        <v>#DIV/0!</v>
      </c>
      <c r="K328" s="16" t="e">
        <f t="shared" si="80"/>
        <v>#DIV/0!</v>
      </c>
      <c r="L328" s="17" t="e">
        <f t="shared" si="73"/>
        <v>#DIV/0!</v>
      </c>
      <c r="M328" s="16" t="e">
        <f t="shared" si="81"/>
        <v>#DIV/0!</v>
      </c>
      <c r="N328" s="17" t="e">
        <f t="shared" si="82"/>
        <v>#DIV/0!</v>
      </c>
      <c r="O328" s="17" t="e">
        <f t="shared" si="83"/>
        <v>#DIV/0!</v>
      </c>
      <c r="P328" s="18" t="e">
        <f t="shared" si="84"/>
        <v>#DIV/0!</v>
      </c>
      <c r="Q328" s="19" t="e">
        <f t="shared" si="85"/>
        <v>#DIV/0!</v>
      </c>
      <c r="R328" s="19" t="e">
        <f t="shared" si="86"/>
        <v>#DIV/0!</v>
      </c>
      <c r="S328" s="20"/>
      <c r="T328" s="20">
        <f>[1]Лист4!B327</f>
        <v>0</v>
      </c>
    </row>
    <row r="329" spans="1:20" ht="15.75" x14ac:dyDescent="0.25">
      <c r="A329" s="11">
        <f>[1]Лист4!A328</f>
        <v>0</v>
      </c>
      <c r="B329" s="12">
        <f>[1]Лист4!C328</f>
        <v>0</v>
      </c>
      <c r="C329" s="13">
        <f>[1]Лист4!D328</f>
        <v>0</v>
      </c>
      <c r="D329" s="14" t="e">
        <f>[1]Лист4!F328</f>
        <v>#DIV/0!</v>
      </c>
      <c r="E329" s="15" t="e">
        <f t="shared" si="75"/>
        <v>#DIV/0!</v>
      </c>
      <c r="F329" s="15" t="e">
        <f t="shared" si="76"/>
        <v>#DIV/0!</v>
      </c>
      <c r="G329" s="16" t="e">
        <f t="shared" si="74"/>
        <v>#DIV/0!</v>
      </c>
      <c r="H329" s="16" t="e">
        <f t="shared" si="77"/>
        <v>#DIV/0!</v>
      </c>
      <c r="I329" s="16" t="e">
        <f t="shared" si="78"/>
        <v>#DIV/0!</v>
      </c>
      <c r="J329" s="16" t="e">
        <f t="shared" si="79"/>
        <v>#DIV/0!</v>
      </c>
      <c r="K329" s="16" t="e">
        <f t="shared" si="80"/>
        <v>#DIV/0!</v>
      </c>
      <c r="L329" s="17" t="e">
        <f t="shared" si="73"/>
        <v>#DIV/0!</v>
      </c>
      <c r="M329" s="16" t="e">
        <f t="shared" si="81"/>
        <v>#DIV/0!</v>
      </c>
      <c r="N329" s="17" t="e">
        <f t="shared" si="82"/>
        <v>#DIV/0!</v>
      </c>
      <c r="O329" s="17" t="e">
        <f t="shared" si="83"/>
        <v>#DIV/0!</v>
      </c>
      <c r="P329" s="18" t="e">
        <f t="shared" si="84"/>
        <v>#DIV/0!</v>
      </c>
      <c r="Q329" s="19" t="e">
        <f t="shared" si="85"/>
        <v>#DIV/0!</v>
      </c>
      <c r="R329" s="19" t="e">
        <f t="shared" si="86"/>
        <v>#DIV/0!</v>
      </c>
      <c r="S329" s="20"/>
      <c r="T329" s="20">
        <f>[1]Лист4!B328</f>
        <v>0</v>
      </c>
    </row>
    <row r="330" spans="1:20" ht="15.75" x14ac:dyDescent="0.25">
      <c r="A330" s="11">
        <f>[1]Лист4!A329</f>
        <v>0</v>
      </c>
      <c r="B330" s="12">
        <f>[1]Лист4!C329</f>
        <v>0</v>
      </c>
      <c r="C330" s="13">
        <f>[1]Лист4!D329</f>
        <v>0</v>
      </c>
      <c r="D330" s="14" t="e">
        <f>[1]Лист4!F329</f>
        <v>#DIV/0!</v>
      </c>
      <c r="E330" s="15" t="e">
        <f t="shared" si="75"/>
        <v>#DIV/0!</v>
      </c>
      <c r="F330" s="15" t="e">
        <f t="shared" si="76"/>
        <v>#DIV/0!</v>
      </c>
      <c r="G330" s="16" t="e">
        <f t="shared" si="74"/>
        <v>#DIV/0!</v>
      </c>
      <c r="H330" s="16" t="e">
        <f t="shared" si="77"/>
        <v>#DIV/0!</v>
      </c>
      <c r="I330" s="16" t="e">
        <f t="shared" si="78"/>
        <v>#DIV/0!</v>
      </c>
      <c r="J330" s="16" t="e">
        <f t="shared" si="79"/>
        <v>#DIV/0!</v>
      </c>
      <c r="K330" s="16" t="e">
        <f t="shared" si="80"/>
        <v>#DIV/0!</v>
      </c>
      <c r="L330" s="17" t="e">
        <f t="shared" si="73"/>
        <v>#DIV/0!</v>
      </c>
      <c r="M330" s="16" t="e">
        <f t="shared" si="81"/>
        <v>#DIV/0!</v>
      </c>
      <c r="N330" s="17" t="e">
        <f t="shared" si="82"/>
        <v>#DIV/0!</v>
      </c>
      <c r="O330" s="17" t="e">
        <f t="shared" si="83"/>
        <v>#DIV/0!</v>
      </c>
      <c r="P330" s="18" t="e">
        <f t="shared" si="84"/>
        <v>#DIV/0!</v>
      </c>
      <c r="Q330" s="19" t="e">
        <f t="shared" si="85"/>
        <v>#DIV/0!</v>
      </c>
      <c r="R330" s="19" t="e">
        <f t="shared" si="86"/>
        <v>#DIV/0!</v>
      </c>
      <c r="S330" s="20"/>
      <c r="T330" s="20">
        <f>[1]Лист4!B329</f>
        <v>0</v>
      </c>
    </row>
    <row r="331" spans="1:20" ht="15.75" x14ac:dyDescent="0.25">
      <c r="A331" s="11">
        <f>[1]Лист4!A330</f>
        <v>0</v>
      </c>
      <c r="B331" s="12">
        <f>[1]Лист4!C330</f>
        <v>0</v>
      </c>
      <c r="C331" s="13">
        <f>[1]Лист4!D330</f>
        <v>0</v>
      </c>
      <c r="D331" s="14" t="e">
        <f>[1]Лист4!F330</f>
        <v>#DIV/0!</v>
      </c>
      <c r="E331" s="15" t="e">
        <f t="shared" si="75"/>
        <v>#DIV/0!</v>
      </c>
      <c r="F331" s="15" t="e">
        <f t="shared" si="76"/>
        <v>#DIV/0!</v>
      </c>
      <c r="G331" s="16" t="e">
        <f t="shared" si="74"/>
        <v>#DIV/0!</v>
      </c>
      <c r="H331" s="16" t="e">
        <f t="shared" si="77"/>
        <v>#DIV/0!</v>
      </c>
      <c r="I331" s="16" t="e">
        <f t="shared" si="78"/>
        <v>#DIV/0!</v>
      </c>
      <c r="J331" s="16" t="e">
        <f t="shared" si="79"/>
        <v>#DIV/0!</v>
      </c>
      <c r="K331" s="16" t="e">
        <f t="shared" si="80"/>
        <v>#DIV/0!</v>
      </c>
      <c r="L331" s="17" t="e">
        <f t="shared" si="73"/>
        <v>#DIV/0!</v>
      </c>
      <c r="M331" s="16" t="e">
        <f t="shared" si="81"/>
        <v>#DIV/0!</v>
      </c>
      <c r="N331" s="17" t="e">
        <f t="shared" si="82"/>
        <v>#DIV/0!</v>
      </c>
      <c r="O331" s="17" t="e">
        <f t="shared" si="83"/>
        <v>#DIV/0!</v>
      </c>
      <c r="P331" s="18" t="e">
        <f t="shared" si="84"/>
        <v>#DIV/0!</v>
      </c>
      <c r="Q331" s="19" t="e">
        <f t="shared" si="85"/>
        <v>#DIV/0!</v>
      </c>
      <c r="R331" s="19" t="e">
        <f t="shared" si="86"/>
        <v>#DIV/0!</v>
      </c>
      <c r="S331" s="20"/>
      <c r="T331" s="20">
        <f>[1]Лист4!B330</f>
        <v>0</v>
      </c>
    </row>
    <row r="332" spans="1:20" ht="15.75" x14ac:dyDescent="0.25">
      <c r="A332" s="11">
        <f>[1]Лист4!A331</f>
        <v>0</v>
      </c>
      <c r="B332" s="12">
        <f>[1]Лист4!C331</f>
        <v>0</v>
      </c>
      <c r="C332" s="13">
        <f>[1]Лист4!D331</f>
        <v>0</v>
      </c>
      <c r="D332" s="14" t="e">
        <f>[1]Лист4!F331</f>
        <v>#DIV/0!</v>
      </c>
      <c r="E332" s="15" t="e">
        <f t="shared" si="75"/>
        <v>#DIV/0!</v>
      </c>
      <c r="F332" s="15" t="e">
        <f t="shared" si="76"/>
        <v>#DIV/0!</v>
      </c>
      <c r="G332" s="16" t="e">
        <f t="shared" si="74"/>
        <v>#DIV/0!</v>
      </c>
      <c r="H332" s="16" t="e">
        <f t="shared" si="77"/>
        <v>#DIV/0!</v>
      </c>
      <c r="I332" s="16" t="e">
        <f t="shared" si="78"/>
        <v>#DIV/0!</v>
      </c>
      <c r="J332" s="16" t="e">
        <f t="shared" si="79"/>
        <v>#DIV/0!</v>
      </c>
      <c r="K332" s="16" t="e">
        <f t="shared" si="80"/>
        <v>#DIV/0!</v>
      </c>
      <c r="L332" s="17" t="e">
        <f t="shared" si="73"/>
        <v>#DIV/0!</v>
      </c>
      <c r="M332" s="16" t="e">
        <f t="shared" si="81"/>
        <v>#DIV/0!</v>
      </c>
      <c r="N332" s="17" t="e">
        <f t="shared" si="82"/>
        <v>#DIV/0!</v>
      </c>
      <c r="O332" s="17" t="e">
        <f t="shared" si="83"/>
        <v>#DIV/0!</v>
      </c>
      <c r="P332" s="18" t="e">
        <f t="shared" si="84"/>
        <v>#DIV/0!</v>
      </c>
      <c r="Q332" s="19" t="e">
        <f t="shared" si="85"/>
        <v>#DIV/0!</v>
      </c>
      <c r="R332" s="19" t="e">
        <f t="shared" si="86"/>
        <v>#DIV/0!</v>
      </c>
      <c r="S332" s="20"/>
      <c r="T332" s="20">
        <f>[1]Лист4!B331</f>
        <v>0</v>
      </c>
    </row>
    <row r="333" spans="1:20" ht="15.75" x14ac:dyDescent="0.25">
      <c r="A333" s="11">
        <f>[1]Лист4!A332</f>
        <v>0</v>
      </c>
      <c r="B333" s="12">
        <f>[1]Лист4!C332</f>
        <v>0</v>
      </c>
      <c r="C333" s="13">
        <f>[1]Лист4!D332</f>
        <v>0</v>
      </c>
      <c r="D333" s="14" t="e">
        <f>[1]Лист4!F332</f>
        <v>#DIV/0!</v>
      </c>
      <c r="E333" s="15" t="e">
        <f t="shared" si="75"/>
        <v>#DIV/0!</v>
      </c>
      <c r="F333" s="15" t="e">
        <f t="shared" si="76"/>
        <v>#DIV/0!</v>
      </c>
      <c r="G333" s="16" t="e">
        <f t="shared" si="74"/>
        <v>#DIV/0!</v>
      </c>
      <c r="H333" s="16" t="e">
        <f t="shared" si="77"/>
        <v>#DIV/0!</v>
      </c>
      <c r="I333" s="16" t="e">
        <f t="shared" si="78"/>
        <v>#DIV/0!</v>
      </c>
      <c r="J333" s="16" t="e">
        <f t="shared" si="79"/>
        <v>#DIV/0!</v>
      </c>
      <c r="K333" s="16" t="e">
        <f t="shared" si="80"/>
        <v>#DIV/0!</v>
      </c>
      <c r="L333" s="17" t="e">
        <f t="shared" si="73"/>
        <v>#DIV/0!</v>
      </c>
      <c r="M333" s="16" t="e">
        <f t="shared" si="81"/>
        <v>#DIV/0!</v>
      </c>
      <c r="N333" s="17" t="e">
        <f t="shared" si="82"/>
        <v>#DIV/0!</v>
      </c>
      <c r="O333" s="17" t="e">
        <f t="shared" si="83"/>
        <v>#DIV/0!</v>
      </c>
      <c r="P333" s="18" t="e">
        <f t="shared" si="84"/>
        <v>#DIV/0!</v>
      </c>
      <c r="Q333" s="19" t="e">
        <f t="shared" si="85"/>
        <v>#DIV/0!</v>
      </c>
      <c r="R333" s="19" t="e">
        <f t="shared" si="86"/>
        <v>#DIV/0!</v>
      </c>
      <c r="S333" s="20"/>
      <c r="T333" s="20">
        <f>[1]Лист4!B332</f>
        <v>0</v>
      </c>
    </row>
    <row r="334" spans="1:20" ht="15.75" x14ac:dyDescent="0.25">
      <c r="A334" s="11">
        <f>[1]Лист4!A333</f>
        <v>0</v>
      </c>
      <c r="B334" s="12">
        <f>[1]Лист4!C333</f>
        <v>0</v>
      </c>
      <c r="C334" s="13">
        <f>[1]Лист4!D333</f>
        <v>0</v>
      </c>
      <c r="D334" s="14" t="e">
        <f>[1]Лист4!F333</f>
        <v>#DIV/0!</v>
      </c>
      <c r="E334" s="15" t="e">
        <f t="shared" si="75"/>
        <v>#DIV/0!</v>
      </c>
      <c r="F334" s="15" t="e">
        <f t="shared" si="76"/>
        <v>#DIV/0!</v>
      </c>
      <c r="G334" s="16" t="e">
        <f t="shared" si="74"/>
        <v>#DIV/0!</v>
      </c>
      <c r="H334" s="16" t="e">
        <f t="shared" si="77"/>
        <v>#DIV/0!</v>
      </c>
      <c r="I334" s="16" t="e">
        <f t="shared" si="78"/>
        <v>#DIV/0!</v>
      </c>
      <c r="J334" s="16" t="e">
        <f t="shared" si="79"/>
        <v>#DIV/0!</v>
      </c>
      <c r="K334" s="16" t="e">
        <f t="shared" si="80"/>
        <v>#DIV/0!</v>
      </c>
      <c r="L334" s="17" t="e">
        <f t="shared" si="73"/>
        <v>#DIV/0!</v>
      </c>
      <c r="M334" s="16" t="e">
        <f t="shared" si="81"/>
        <v>#DIV/0!</v>
      </c>
      <c r="N334" s="17" t="e">
        <f t="shared" si="82"/>
        <v>#DIV/0!</v>
      </c>
      <c r="O334" s="17" t="e">
        <f t="shared" si="83"/>
        <v>#DIV/0!</v>
      </c>
      <c r="P334" s="18" t="e">
        <f t="shared" si="84"/>
        <v>#DIV/0!</v>
      </c>
      <c r="Q334" s="19" t="e">
        <f t="shared" si="85"/>
        <v>#DIV/0!</v>
      </c>
      <c r="R334" s="19" t="e">
        <f t="shared" si="86"/>
        <v>#DIV/0!</v>
      </c>
      <c r="S334" s="20"/>
      <c r="T334" s="20">
        <f>[1]Лист4!B333</f>
        <v>0</v>
      </c>
    </row>
    <row r="335" spans="1:20" ht="15.75" x14ac:dyDescent="0.25">
      <c r="A335" s="11">
        <f>[1]Лист4!A334</f>
        <v>0</v>
      </c>
      <c r="B335" s="12">
        <f>[1]Лист4!C334</f>
        <v>0</v>
      </c>
      <c r="C335" s="13">
        <f>[1]Лист4!D334</f>
        <v>0</v>
      </c>
      <c r="D335" s="14" t="e">
        <f>[1]Лист4!F334</f>
        <v>#DIV/0!</v>
      </c>
      <c r="E335" s="15" t="e">
        <f t="shared" si="75"/>
        <v>#DIV/0!</v>
      </c>
      <c r="F335" s="15" t="e">
        <f t="shared" si="76"/>
        <v>#DIV/0!</v>
      </c>
      <c r="G335" s="16" t="e">
        <f t="shared" si="74"/>
        <v>#DIV/0!</v>
      </c>
      <c r="H335" s="16" t="e">
        <f t="shared" si="77"/>
        <v>#DIV/0!</v>
      </c>
      <c r="I335" s="16" t="e">
        <f t="shared" si="78"/>
        <v>#DIV/0!</v>
      </c>
      <c r="J335" s="16" t="e">
        <f t="shared" si="79"/>
        <v>#DIV/0!</v>
      </c>
      <c r="K335" s="16" t="e">
        <f t="shared" si="80"/>
        <v>#DIV/0!</v>
      </c>
      <c r="L335" s="17" t="e">
        <f t="shared" si="73"/>
        <v>#DIV/0!</v>
      </c>
      <c r="M335" s="16" t="e">
        <f t="shared" si="81"/>
        <v>#DIV/0!</v>
      </c>
      <c r="N335" s="17" t="e">
        <f t="shared" si="82"/>
        <v>#DIV/0!</v>
      </c>
      <c r="O335" s="17" t="e">
        <f t="shared" si="83"/>
        <v>#DIV/0!</v>
      </c>
      <c r="P335" s="18" t="e">
        <f t="shared" si="84"/>
        <v>#DIV/0!</v>
      </c>
      <c r="Q335" s="19" t="e">
        <f t="shared" si="85"/>
        <v>#DIV/0!</v>
      </c>
      <c r="R335" s="19" t="e">
        <f t="shared" si="86"/>
        <v>#DIV/0!</v>
      </c>
      <c r="S335" s="20"/>
      <c r="T335" s="20">
        <f>[1]Лист4!B334</f>
        <v>0</v>
      </c>
    </row>
    <row r="336" spans="1:20" ht="15.75" x14ac:dyDescent="0.25">
      <c r="A336" s="11">
        <f>[1]Лист4!A335</f>
        <v>0</v>
      </c>
      <c r="B336" s="12">
        <f>[1]Лист4!C335</f>
        <v>0</v>
      </c>
      <c r="C336" s="13">
        <f>[1]Лист4!D335</f>
        <v>0</v>
      </c>
      <c r="D336" s="14" t="e">
        <f>[1]Лист4!F335</f>
        <v>#DIV/0!</v>
      </c>
      <c r="E336" s="15" t="e">
        <f t="shared" si="75"/>
        <v>#DIV/0!</v>
      </c>
      <c r="F336" s="15" t="e">
        <f t="shared" si="76"/>
        <v>#DIV/0!</v>
      </c>
      <c r="G336" s="16" t="e">
        <f t="shared" si="74"/>
        <v>#DIV/0!</v>
      </c>
      <c r="H336" s="16" t="e">
        <f t="shared" si="77"/>
        <v>#DIV/0!</v>
      </c>
      <c r="I336" s="16" t="e">
        <f t="shared" si="78"/>
        <v>#DIV/0!</v>
      </c>
      <c r="J336" s="16" t="e">
        <f t="shared" si="79"/>
        <v>#DIV/0!</v>
      </c>
      <c r="K336" s="16" t="e">
        <f t="shared" si="80"/>
        <v>#DIV/0!</v>
      </c>
      <c r="L336" s="17" t="e">
        <f t="shared" si="73"/>
        <v>#DIV/0!</v>
      </c>
      <c r="M336" s="16" t="e">
        <f t="shared" si="81"/>
        <v>#DIV/0!</v>
      </c>
      <c r="N336" s="17" t="e">
        <f t="shared" si="82"/>
        <v>#DIV/0!</v>
      </c>
      <c r="O336" s="17" t="e">
        <f t="shared" si="83"/>
        <v>#DIV/0!</v>
      </c>
      <c r="P336" s="18" t="e">
        <f t="shared" si="84"/>
        <v>#DIV/0!</v>
      </c>
      <c r="Q336" s="19" t="e">
        <f t="shared" si="85"/>
        <v>#DIV/0!</v>
      </c>
      <c r="R336" s="19" t="e">
        <f t="shared" si="86"/>
        <v>#DIV/0!</v>
      </c>
      <c r="S336" s="20"/>
      <c r="T336" s="20">
        <f>[1]Лист4!B335</f>
        <v>0</v>
      </c>
    </row>
    <row r="337" spans="1:20" ht="15.75" x14ac:dyDescent="0.25">
      <c r="A337" s="11">
        <f>[1]Лист4!A336</f>
        <v>0</v>
      </c>
      <c r="B337" s="12">
        <f>[1]Лист4!C336</f>
        <v>0</v>
      </c>
      <c r="C337" s="13">
        <f>[1]Лист4!D336</f>
        <v>0</v>
      </c>
      <c r="D337" s="14" t="e">
        <f>[1]Лист4!F336</f>
        <v>#DIV/0!</v>
      </c>
      <c r="E337" s="15" t="e">
        <f t="shared" si="75"/>
        <v>#DIV/0!</v>
      </c>
      <c r="F337" s="15" t="e">
        <f t="shared" si="76"/>
        <v>#DIV/0!</v>
      </c>
      <c r="G337" s="16" t="e">
        <f t="shared" si="74"/>
        <v>#DIV/0!</v>
      </c>
      <c r="H337" s="16" t="e">
        <f t="shared" si="77"/>
        <v>#DIV/0!</v>
      </c>
      <c r="I337" s="16" t="e">
        <f t="shared" si="78"/>
        <v>#DIV/0!</v>
      </c>
      <c r="J337" s="16" t="e">
        <f t="shared" si="79"/>
        <v>#DIV/0!</v>
      </c>
      <c r="K337" s="16" t="e">
        <f t="shared" si="80"/>
        <v>#DIV/0!</v>
      </c>
      <c r="L337" s="17" t="e">
        <f t="shared" si="73"/>
        <v>#DIV/0!</v>
      </c>
      <c r="M337" s="16" t="e">
        <f t="shared" si="81"/>
        <v>#DIV/0!</v>
      </c>
      <c r="N337" s="17" t="e">
        <f t="shared" si="82"/>
        <v>#DIV/0!</v>
      </c>
      <c r="O337" s="17" t="e">
        <f t="shared" si="83"/>
        <v>#DIV/0!</v>
      </c>
      <c r="P337" s="18" t="e">
        <f t="shared" si="84"/>
        <v>#DIV/0!</v>
      </c>
      <c r="Q337" s="19" t="e">
        <f t="shared" si="85"/>
        <v>#DIV/0!</v>
      </c>
      <c r="R337" s="19" t="e">
        <f t="shared" si="86"/>
        <v>#DIV/0!</v>
      </c>
      <c r="S337" s="20"/>
      <c r="T337" s="20">
        <f>[1]Лист4!B336</f>
        <v>0</v>
      </c>
    </row>
    <row r="338" spans="1:20" ht="15.75" x14ac:dyDescent="0.25">
      <c r="A338" s="11">
        <f>[1]Лист4!A337</f>
        <v>0</v>
      </c>
      <c r="B338" s="12">
        <f>[1]Лист4!C337</f>
        <v>0</v>
      </c>
      <c r="C338" s="13">
        <f>[1]Лист4!D337</f>
        <v>0</v>
      </c>
      <c r="D338" s="14" t="e">
        <f>[1]Лист4!F337</f>
        <v>#DIV/0!</v>
      </c>
      <c r="E338" s="15" t="e">
        <f t="shared" si="75"/>
        <v>#DIV/0!</v>
      </c>
      <c r="F338" s="15" t="e">
        <f t="shared" si="76"/>
        <v>#DIV/0!</v>
      </c>
      <c r="G338" s="16" t="e">
        <f t="shared" si="74"/>
        <v>#DIV/0!</v>
      </c>
      <c r="H338" s="16" t="e">
        <f t="shared" si="77"/>
        <v>#DIV/0!</v>
      </c>
      <c r="I338" s="16" t="e">
        <f t="shared" si="78"/>
        <v>#DIV/0!</v>
      </c>
      <c r="J338" s="16" t="e">
        <f t="shared" si="79"/>
        <v>#DIV/0!</v>
      </c>
      <c r="K338" s="16" t="e">
        <f t="shared" si="80"/>
        <v>#DIV/0!</v>
      </c>
      <c r="L338" s="17" t="e">
        <f t="shared" si="73"/>
        <v>#DIV/0!</v>
      </c>
      <c r="M338" s="16" t="e">
        <f t="shared" si="81"/>
        <v>#DIV/0!</v>
      </c>
      <c r="N338" s="17" t="e">
        <f t="shared" si="82"/>
        <v>#DIV/0!</v>
      </c>
      <c r="O338" s="17" t="e">
        <f t="shared" si="83"/>
        <v>#DIV/0!</v>
      </c>
      <c r="P338" s="18" t="e">
        <f t="shared" si="84"/>
        <v>#DIV/0!</v>
      </c>
      <c r="Q338" s="19" t="e">
        <f t="shared" si="85"/>
        <v>#DIV/0!</v>
      </c>
      <c r="R338" s="19" t="e">
        <f t="shared" si="86"/>
        <v>#DIV/0!</v>
      </c>
      <c r="S338" s="20"/>
      <c r="T338" s="20">
        <f>[1]Лист4!B337</f>
        <v>0</v>
      </c>
    </row>
    <row r="339" spans="1:20" ht="15.75" x14ac:dyDescent="0.25">
      <c r="A339" s="11">
        <f>[1]Лист4!A338</f>
        <v>0</v>
      </c>
      <c r="B339" s="12">
        <f>[1]Лист4!C338</f>
        <v>0</v>
      </c>
      <c r="C339" s="13">
        <f>[1]Лист4!D338</f>
        <v>0</v>
      </c>
      <c r="D339" s="14" t="e">
        <f>[1]Лист4!F338</f>
        <v>#DIV/0!</v>
      </c>
      <c r="E339" s="15" t="e">
        <f t="shared" si="75"/>
        <v>#DIV/0!</v>
      </c>
      <c r="F339" s="15" t="e">
        <f t="shared" si="76"/>
        <v>#DIV/0!</v>
      </c>
      <c r="G339" s="16" t="e">
        <f t="shared" si="74"/>
        <v>#DIV/0!</v>
      </c>
      <c r="H339" s="16" t="e">
        <f t="shared" si="77"/>
        <v>#DIV/0!</v>
      </c>
      <c r="I339" s="16" t="e">
        <f t="shared" si="78"/>
        <v>#DIV/0!</v>
      </c>
      <c r="J339" s="16" t="e">
        <f t="shared" si="79"/>
        <v>#DIV/0!</v>
      </c>
      <c r="K339" s="16" t="e">
        <f t="shared" si="80"/>
        <v>#DIV/0!</v>
      </c>
      <c r="L339" s="17" t="e">
        <f t="shared" si="73"/>
        <v>#DIV/0!</v>
      </c>
      <c r="M339" s="16" t="e">
        <f t="shared" si="81"/>
        <v>#DIV/0!</v>
      </c>
      <c r="N339" s="17" t="e">
        <f t="shared" si="82"/>
        <v>#DIV/0!</v>
      </c>
      <c r="O339" s="17" t="e">
        <f t="shared" si="83"/>
        <v>#DIV/0!</v>
      </c>
      <c r="P339" s="18" t="e">
        <f t="shared" si="84"/>
        <v>#DIV/0!</v>
      </c>
      <c r="Q339" s="19" t="e">
        <f t="shared" si="85"/>
        <v>#DIV/0!</v>
      </c>
      <c r="R339" s="19" t="e">
        <f t="shared" si="86"/>
        <v>#DIV/0!</v>
      </c>
      <c r="S339" s="20"/>
      <c r="T339" s="20">
        <f>[1]Лист4!B338</f>
        <v>0</v>
      </c>
    </row>
    <row r="340" spans="1:20" ht="15.75" x14ac:dyDescent="0.25">
      <c r="A340" s="11">
        <f>[1]Лист4!A339</f>
        <v>0</v>
      </c>
      <c r="B340" s="12">
        <f>[1]Лист4!C339</f>
        <v>0</v>
      </c>
      <c r="C340" s="13">
        <f>[1]Лист4!D339</f>
        <v>0</v>
      </c>
      <c r="D340" s="14" t="e">
        <f>[1]Лист4!F339</f>
        <v>#DIV/0!</v>
      </c>
      <c r="E340" s="15" t="e">
        <f t="shared" si="75"/>
        <v>#DIV/0!</v>
      </c>
      <c r="F340" s="15" t="e">
        <f t="shared" si="76"/>
        <v>#DIV/0!</v>
      </c>
      <c r="G340" s="16" t="e">
        <f t="shared" si="74"/>
        <v>#DIV/0!</v>
      </c>
      <c r="H340" s="16" t="e">
        <f t="shared" si="77"/>
        <v>#DIV/0!</v>
      </c>
      <c r="I340" s="16" t="e">
        <f t="shared" si="78"/>
        <v>#DIV/0!</v>
      </c>
      <c r="J340" s="16" t="e">
        <f t="shared" si="79"/>
        <v>#DIV/0!</v>
      </c>
      <c r="K340" s="16" t="e">
        <f t="shared" si="80"/>
        <v>#DIV/0!</v>
      </c>
      <c r="L340" s="17" t="e">
        <f t="shared" si="73"/>
        <v>#DIV/0!</v>
      </c>
      <c r="M340" s="16" t="e">
        <f t="shared" si="81"/>
        <v>#DIV/0!</v>
      </c>
      <c r="N340" s="17" t="e">
        <f t="shared" si="82"/>
        <v>#DIV/0!</v>
      </c>
      <c r="O340" s="17" t="e">
        <f t="shared" si="83"/>
        <v>#DIV/0!</v>
      </c>
      <c r="P340" s="18" t="e">
        <f t="shared" si="84"/>
        <v>#DIV/0!</v>
      </c>
      <c r="Q340" s="19" t="e">
        <f t="shared" si="85"/>
        <v>#DIV/0!</v>
      </c>
      <c r="R340" s="19" t="e">
        <f t="shared" si="86"/>
        <v>#DIV/0!</v>
      </c>
      <c r="S340" s="20"/>
      <c r="T340" s="20">
        <f>[1]Лист4!B339</f>
        <v>0</v>
      </c>
    </row>
    <row r="341" spans="1:20" ht="15.75" x14ac:dyDescent="0.25">
      <c r="A341" s="11">
        <f>[1]Лист4!A340</f>
        <v>0</v>
      </c>
      <c r="B341" s="12">
        <f>[1]Лист4!C340</f>
        <v>0</v>
      </c>
      <c r="C341" s="13">
        <f>[1]Лист4!D340</f>
        <v>0</v>
      </c>
      <c r="D341" s="14" t="e">
        <f>[1]Лист4!F340</f>
        <v>#DIV/0!</v>
      </c>
      <c r="E341" s="15" t="e">
        <f t="shared" si="75"/>
        <v>#DIV/0!</v>
      </c>
      <c r="F341" s="15" t="e">
        <f t="shared" si="76"/>
        <v>#DIV/0!</v>
      </c>
      <c r="G341" s="16" t="e">
        <f t="shared" si="74"/>
        <v>#DIV/0!</v>
      </c>
      <c r="H341" s="16" t="e">
        <f t="shared" si="77"/>
        <v>#DIV/0!</v>
      </c>
      <c r="I341" s="16" t="e">
        <f t="shared" si="78"/>
        <v>#DIV/0!</v>
      </c>
      <c r="J341" s="16" t="e">
        <f t="shared" si="79"/>
        <v>#DIV/0!</v>
      </c>
      <c r="K341" s="16" t="e">
        <f t="shared" si="80"/>
        <v>#DIV/0!</v>
      </c>
      <c r="L341" s="17" t="e">
        <f t="shared" si="73"/>
        <v>#DIV/0!</v>
      </c>
      <c r="M341" s="16" t="e">
        <f t="shared" si="81"/>
        <v>#DIV/0!</v>
      </c>
      <c r="N341" s="17" t="e">
        <f t="shared" si="82"/>
        <v>#DIV/0!</v>
      </c>
      <c r="O341" s="17" t="e">
        <f t="shared" si="83"/>
        <v>#DIV/0!</v>
      </c>
      <c r="P341" s="18" t="e">
        <f t="shared" si="84"/>
        <v>#DIV/0!</v>
      </c>
      <c r="Q341" s="19" t="e">
        <f t="shared" si="85"/>
        <v>#DIV/0!</v>
      </c>
      <c r="R341" s="19" t="e">
        <f t="shared" si="86"/>
        <v>#DIV/0!</v>
      </c>
      <c r="S341" s="20"/>
      <c r="T341" s="20">
        <f>[1]Лист4!B340</f>
        <v>0</v>
      </c>
    </row>
    <row r="342" spans="1:20" ht="15.75" x14ac:dyDescent="0.25">
      <c r="A342" s="11">
        <f>[1]Лист4!A341</f>
        <v>0</v>
      </c>
      <c r="B342" s="12">
        <f>[1]Лист4!C341</f>
        <v>0</v>
      </c>
      <c r="C342" s="13">
        <f>[1]Лист4!D341</f>
        <v>0</v>
      </c>
      <c r="D342" s="14" t="e">
        <f>[1]Лист4!F341</f>
        <v>#DIV/0!</v>
      </c>
      <c r="E342" s="15" t="e">
        <f t="shared" si="75"/>
        <v>#DIV/0!</v>
      </c>
      <c r="F342" s="15" t="e">
        <f t="shared" si="76"/>
        <v>#DIV/0!</v>
      </c>
      <c r="G342" s="16" t="e">
        <f t="shared" si="74"/>
        <v>#DIV/0!</v>
      </c>
      <c r="H342" s="16" t="e">
        <f t="shared" si="77"/>
        <v>#DIV/0!</v>
      </c>
      <c r="I342" s="16" t="e">
        <f t="shared" si="78"/>
        <v>#DIV/0!</v>
      </c>
      <c r="J342" s="16" t="e">
        <f t="shared" si="79"/>
        <v>#DIV/0!</v>
      </c>
      <c r="K342" s="16" t="e">
        <f t="shared" si="80"/>
        <v>#DIV/0!</v>
      </c>
      <c r="L342" s="17" t="e">
        <f t="shared" si="73"/>
        <v>#DIV/0!</v>
      </c>
      <c r="M342" s="16" t="e">
        <f t="shared" si="81"/>
        <v>#DIV/0!</v>
      </c>
      <c r="N342" s="17" t="e">
        <f t="shared" si="82"/>
        <v>#DIV/0!</v>
      </c>
      <c r="O342" s="17" t="e">
        <f t="shared" si="83"/>
        <v>#DIV/0!</v>
      </c>
      <c r="P342" s="18" t="e">
        <f t="shared" si="84"/>
        <v>#DIV/0!</v>
      </c>
      <c r="Q342" s="19" t="e">
        <f t="shared" si="85"/>
        <v>#DIV/0!</v>
      </c>
      <c r="R342" s="19" t="e">
        <f t="shared" si="86"/>
        <v>#DIV/0!</v>
      </c>
      <c r="S342" s="20"/>
      <c r="T342" s="20">
        <f>[1]Лист4!B341</f>
        <v>0</v>
      </c>
    </row>
    <row r="343" spans="1:20" ht="15.75" x14ac:dyDescent="0.25">
      <c r="A343" s="11">
        <f>[1]Лист4!A342</f>
        <v>0</v>
      </c>
      <c r="B343" s="12">
        <f>[1]Лист4!C342</f>
        <v>0</v>
      </c>
      <c r="C343" s="13">
        <f>[1]Лист4!D342</f>
        <v>0</v>
      </c>
      <c r="D343" s="14" t="e">
        <f>[1]Лист4!F342</f>
        <v>#DIV/0!</v>
      </c>
      <c r="E343" s="15" t="e">
        <f t="shared" si="75"/>
        <v>#DIV/0!</v>
      </c>
      <c r="F343" s="15" t="e">
        <f t="shared" si="76"/>
        <v>#DIV/0!</v>
      </c>
      <c r="G343" s="16" t="e">
        <f t="shared" si="74"/>
        <v>#DIV/0!</v>
      </c>
      <c r="H343" s="16" t="e">
        <f t="shared" si="77"/>
        <v>#DIV/0!</v>
      </c>
      <c r="I343" s="16" t="e">
        <f t="shared" si="78"/>
        <v>#DIV/0!</v>
      </c>
      <c r="J343" s="16" t="e">
        <f t="shared" si="79"/>
        <v>#DIV/0!</v>
      </c>
      <c r="K343" s="16" t="e">
        <f t="shared" si="80"/>
        <v>#DIV/0!</v>
      </c>
      <c r="L343" s="17" t="e">
        <f t="shared" si="73"/>
        <v>#DIV/0!</v>
      </c>
      <c r="M343" s="16" t="e">
        <f t="shared" si="81"/>
        <v>#DIV/0!</v>
      </c>
      <c r="N343" s="17" t="e">
        <f t="shared" si="82"/>
        <v>#DIV/0!</v>
      </c>
      <c r="O343" s="17" t="e">
        <f t="shared" si="83"/>
        <v>#DIV/0!</v>
      </c>
      <c r="P343" s="18" t="e">
        <f t="shared" si="84"/>
        <v>#DIV/0!</v>
      </c>
      <c r="Q343" s="19" t="e">
        <f t="shared" si="85"/>
        <v>#DIV/0!</v>
      </c>
      <c r="R343" s="19" t="e">
        <f t="shared" si="86"/>
        <v>#DIV/0!</v>
      </c>
      <c r="S343" s="20"/>
      <c r="T343" s="20">
        <f>[1]Лист4!B342</f>
        <v>0</v>
      </c>
    </row>
    <row r="344" spans="1:20" ht="15.75" x14ac:dyDescent="0.25">
      <c r="A344" s="11">
        <f>[1]Лист4!A343</f>
        <v>0</v>
      </c>
      <c r="B344" s="12">
        <f>[1]Лист4!C343</f>
        <v>0</v>
      </c>
      <c r="C344" s="13">
        <f>[1]Лист4!D343</f>
        <v>0</v>
      </c>
      <c r="D344" s="14" t="e">
        <f>[1]Лист4!F343</f>
        <v>#DIV/0!</v>
      </c>
      <c r="E344" s="15" t="e">
        <f t="shared" si="75"/>
        <v>#DIV/0!</v>
      </c>
      <c r="F344" s="15" t="e">
        <f t="shared" si="76"/>
        <v>#DIV/0!</v>
      </c>
      <c r="G344" s="16" t="e">
        <f t="shared" si="74"/>
        <v>#DIV/0!</v>
      </c>
      <c r="H344" s="16" t="e">
        <f t="shared" si="77"/>
        <v>#DIV/0!</v>
      </c>
      <c r="I344" s="16" t="e">
        <f t="shared" si="78"/>
        <v>#DIV/0!</v>
      </c>
      <c r="J344" s="16" t="e">
        <f t="shared" si="79"/>
        <v>#DIV/0!</v>
      </c>
      <c r="K344" s="16" t="e">
        <f t="shared" si="80"/>
        <v>#DIV/0!</v>
      </c>
      <c r="L344" s="17" t="e">
        <f t="shared" si="73"/>
        <v>#DIV/0!</v>
      </c>
      <c r="M344" s="16" t="e">
        <f t="shared" si="81"/>
        <v>#DIV/0!</v>
      </c>
      <c r="N344" s="17" t="e">
        <f t="shared" si="82"/>
        <v>#DIV/0!</v>
      </c>
      <c r="O344" s="17" t="e">
        <f t="shared" si="83"/>
        <v>#DIV/0!</v>
      </c>
      <c r="P344" s="18" t="e">
        <f t="shared" si="84"/>
        <v>#DIV/0!</v>
      </c>
      <c r="Q344" s="19" t="e">
        <f t="shared" si="85"/>
        <v>#DIV/0!</v>
      </c>
      <c r="R344" s="19" t="e">
        <f t="shared" si="86"/>
        <v>#DIV/0!</v>
      </c>
      <c r="S344" s="20"/>
      <c r="T344" s="20">
        <f>[1]Лист4!B343</f>
        <v>0</v>
      </c>
    </row>
    <row r="345" spans="1:20" ht="15.75" x14ac:dyDescent="0.25">
      <c r="A345" s="11">
        <f>[1]Лист4!A344</f>
        <v>0</v>
      </c>
      <c r="B345" s="12">
        <f>[1]Лист4!C344</f>
        <v>0</v>
      </c>
      <c r="C345" s="13">
        <f>[1]Лист4!D344</f>
        <v>0</v>
      </c>
      <c r="D345" s="14" t="e">
        <f>[1]Лист4!F344</f>
        <v>#DIV/0!</v>
      </c>
      <c r="E345" s="15" t="e">
        <f t="shared" si="75"/>
        <v>#DIV/0!</v>
      </c>
      <c r="F345" s="15" t="e">
        <f t="shared" si="76"/>
        <v>#DIV/0!</v>
      </c>
      <c r="G345" s="16" t="e">
        <f t="shared" si="74"/>
        <v>#DIV/0!</v>
      </c>
      <c r="H345" s="16" t="e">
        <f t="shared" si="77"/>
        <v>#DIV/0!</v>
      </c>
      <c r="I345" s="16" t="e">
        <f t="shared" si="78"/>
        <v>#DIV/0!</v>
      </c>
      <c r="J345" s="16" t="e">
        <f t="shared" si="79"/>
        <v>#DIV/0!</v>
      </c>
      <c r="K345" s="16" t="e">
        <f t="shared" si="80"/>
        <v>#DIV/0!</v>
      </c>
      <c r="L345" s="17" t="e">
        <f t="shared" si="73"/>
        <v>#DIV/0!</v>
      </c>
      <c r="M345" s="16" t="e">
        <f t="shared" si="81"/>
        <v>#DIV/0!</v>
      </c>
      <c r="N345" s="17" t="e">
        <f t="shared" si="82"/>
        <v>#DIV/0!</v>
      </c>
      <c r="O345" s="17" t="e">
        <f t="shared" si="83"/>
        <v>#DIV/0!</v>
      </c>
      <c r="P345" s="18" t="e">
        <f t="shared" si="84"/>
        <v>#DIV/0!</v>
      </c>
      <c r="Q345" s="19" t="e">
        <f t="shared" si="85"/>
        <v>#DIV/0!</v>
      </c>
      <c r="R345" s="19" t="e">
        <f t="shared" si="86"/>
        <v>#DIV/0!</v>
      </c>
      <c r="S345" s="20"/>
      <c r="T345" s="20">
        <f>[1]Лист4!B344</f>
        <v>0</v>
      </c>
    </row>
    <row r="346" spans="1:20" ht="15.75" x14ac:dyDescent="0.25">
      <c r="A346" s="11">
        <f>[1]Лист4!A345</f>
        <v>0</v>
      </c>
      <c r="B346" s="12">
        <f>[1]Лист4!C345</f>
        <v>0</v>
      </c>
      <c r="C346" s="13">
        <f>[1]Лист4!D345</f>
        <v>0</v>
      </c>
      <c r="D346" s="14" t="e">
        <f>[1]Лист4!F345</f>
        <v>#DIV/0!</v>
      </c>
      <c r="E346" s="15" t="e">
        <f t="shared" si="75"/>
        <v>#DIV/0!</v>
      </c>
      <c r="F346" s="15" t="e">
        <f t="shared" si="76"/>
        <v>#DIV/0!</v>
      </c>
      <c r="G346" s="16" t="e">
        <f t="shared" si="74"/>
        <v>#DIV/0!</v>
      </c>
      <c r="H346" s="16" t="e">
        <f t="shared" si="77"/>
        <v>#DIV/0!</v>
      </c>
      <c r="I346" s="16" t="e">
        <f t="shared" si="78"/>
        <v>#DIV/0!</v>
      </c>
      <c r="J346" s="16" t="e">
        <f t="shared" si="79"/>
        <v>#DIV/0!</v>
      </c>
      <c r="K346" s="16" t="e">
        <f t="shared" si="80"/>
        <v>#DIV/0!</v>
      </c>
      <c r="L346" s="17" t="e">
        <f t="shared" si="73"/>
        <v>#DIV/0!</v>
      </c>
      <c r="M346" s="16" t="e">
        <f t="shared" si="81"/>
        <v>#DIV/0!</v>
      </c>
      <c r="N346" s="17" t="e">
        <f t="shared" si="82"/>
        <v>#DIV/0!</v>
      </c>
      <c r="O346" s="17" t="e">
        <f t="shared" si="83"/>
        <v>#DIV/0!</v>
      </c>
      <c r="P346" s="18" t="e">
        <f t="shared" si="84"/>
        <v>#DIV/0!</v>
      </c>
      <c r="Q346" s="19" t="e">
        <f t="shared" si="85"/>
        <v>#DIV/0!</v>
      </c>
      <c r="R346" s="19" t="e">
        <f t="shared" si="86"/>
        <v>#DIV/0!</v>
      </c>
      <c r="S346" s="20"/>
      <c r="T346" s="20">
        <f>[1]Лист4!B345</f>
        <v>0</v>
      </c>
    </row>
    <row r="347" spans="1:20" ht="15.75" x14ac:dyDescent="0.25">
      <c r="A347" s="11">
        <f>[1]Лист4!A346</f>
        <v>0</v>
      </c>
      <c r="B347" s="12">
        <f>[1]Лист4!C346</f>
        <v>0</v>
      </c>
      <c r="C347" s="13">
        <f>[1]Лист4!D346</f>
        <v>0</v>
      </c>
      <c r="D347" s="14" t="e">
        <f>[1]Лист4!F346</f>
        <v>#DIV/0!</v>
      </c>
      <c r="E347" s="15" t="e">
        <f t="shared" si="75"/>
        <v>#DIV/0!</v>
      </c>
      <c r="F347" s="15" t="e">
        <f t="shared" si="76"/>
        <v>#DIV/0!</v>
      </c>
      <c r="G347" s="16" t="e">
        <f t="shared" si="74"/>
        <v>#DIV/0!</v>
      </c>
      <c r="H347" s="16" t="e">
        <f t="shared" si="77"/>
        <v>#DIV/0!</v>
      </c>
      <c r="I347" s="16" t="e">
        <f t="shared" si="78"/>
        <v>#DIV/0!</v>
      </c>
      <c r="J347" s="16" t="e">
        <f t="shared" si="79"/>
        <v>#DIV/0!</v>
      </c>
      <c r="K347" s="16" t="e">
        <f t="shared" si="80"/>
        <v>#DIV/0!</v>
      </c>
      <c r="L347" s="17" t="e">
        <f t="shared" si="73"/>
        <v>#DIV/0!</v>
      </c>
      <c r="M347" s="16" t="e">
        <f t="shared" si="81"/>
        <v>#DIV/0!</v>
      </c>
      <c r="N347" s="17" t="e">
        <f t="shared" si="82"/>
        <v>#DIV/0!</v>
      </c>
      <c r="O347" s="17" t="e">
        <f t="shared" si="83"/>
        <v>#DIV/0!</v>
      </c>
      <c r="P347" s="18" t="e">
        <f t="shared" si="84"/>
        <v>#DIV/0!</v>
      </c>
      <c r="Q347" s="19" t="e">
        <f t="shared" si="85"/>
        <v>#DIV/0!</v>
      </c>
      <c r="R347" s="19" t="e">
        <f t="shared" si="86"/>
        <v>#DIV/0!</v>
      </c>
      <c r="S347" s="20"/>
      <c r="T347" s="20">
        <f>[1]Лист4!B346</f>
        <v>0</v>
      </c>
    </row>
    <row r="348" spans="1:20" ht="15.75" x14ac:dyDescent="0.25">
      <c r="A348" s="11">
        <f>[1]Лист4!A347</f>
        <v>0</v>
      </c>
      <c r="B348" s="12">
        <f>[1]Лист4!C347</f>
        <v>0</v>
      </c>
      <c r="C348" s="13">
        <f>[1]Лист4!D347</f>
        <v>0</v>
      </c>
      <c r="D348" s="14" t="e">
        <f>[1]Лист4!F347</f>
        <v>#DIV/0!</v>
      </c>
      <c r="E348" s="15" t="e">
        <f t="shared" si="75"/>
        <v>#DIV/0!</v>
      </c>
      <c r="F348" s="15" t="e">
        <f t="shared" si="76"/>
        <v>#DIV/0!</v>
      </c>
      <c r="G348" s="16" t="e">
        <f t="shared" si="74"/>
        <v>#DIV/0!</v>
      </c>
      <c r="H348" s="16" t="e">
        <f t="shared" si="77"/>
        <v>#DIV/0!</v>
      </c>
      <c r="I348" s="16" t="e">
        <f t="shared" si="78"/>
        <v>#DIV/0!</v>
      </c>
      <c r="J348" s="16" t="e">
        <f t="shared" si="79"/>
        <v>#DIV/0!</v>
      </c>
      <c r="K348" s="16" t="e">
        <f t="shared" si="80"/>
        <v>#DIV/0!</v>
      </c>
      <c r="L348" s="17" t="e">
        <f t="shared" si="73"/>
        <v>#DIV/0!</v>
      </c>
      <c r="M348" s="16" t="e">
        <f t="shared" si="81"/>
        <v>#DIV/0!</v>
      </c>
      <c r="N348" s="17" t="e">
        <f t="shared" si="82"/>
        <v>#DIV/0!</v>
      </c>
      <c r="O348" s="17" t="e">
        <f t="shared" si="83"/>
        <v>#DIV/0!</v>
      </c>
      <c r="P348" s="18" t="e">
        <f t="shared" si="84"/>
        <v>#DIV/0!</v>
      </c>
      <c r="Q348" s="19" t="e">
        <f t="shared" si="85"/>
        <v>#DIV/0!</v>
      </c>
      <c r="R348" s="19" t="e">
        <f t="shared" si="86"/>
        <v>#DIV/0!</v>
      </c>
      <c r="S348" s="20"/>
      <c r="T348" s="20">
        <f>[1]Лист4!B347</f>
        <v>0</v>
      </c>
    </row>
    <row r="349" spans="1:20" ht="15.75" x14ac:dyDescent="0.25">
      <c r="A349" s="11">
        <f>[1]Лист4!A348</f>
        <v>0</v>
      </c>
      <c r="B349" s="12">
        <f>[1]Лист4!C348</f>
        <v>0</v>
      </c>
      <c r="C349" s="13">
        <f>[1]Лист4!D348</f>
        <v>0</v>
      </c>
      <c r="D349" s="14" t="e">
        <f>[1]Лист4!F348</f>
        <v>#DIV/0!</v>
      </c>
      <c r="E349" s="15" t="e">
        <f t="shared" si="75"/>
        <v>#DIV/0!</v>
      </c>
      <c r="F349" s="15" t="e">
        <f t="shared" si="76"/>
        <v>#DIV/0!</v>
      </c>
      <c r="G349" s="16" t="e">
        <f t="shared" si="74"/>
        <v>#DIV/0!</v>
      </c>
      <c r="H349" s="16" t="e">
        <f t="shared" si="77"/>
        <v>#DIV/0!</v>
      </c>
      <c r="I349" s="16" t="e">
        <f t="shared" si="78"/>
        <v>#DIV/0!</v>
      </c>
      <c r="J349" s="16" t="e">
        <f t="shared" si="79"/>
        <v>#DIV/0!</v>
      </c>
      <c r="K349" s="16" t="e">
        <f t="shared" si="80"/>
        <v>#DIV/0!</v>
      </c>
      <c r="L349" s="17" t="e">
        <f t="shared" si="73"/>
        <v>#DIV/0!</v>
      </c>
      <c r="M349" s="16" t="e">
        <f t="shared" si="81"/>
        <v>#DIV/0!</v>
      </c>
      <c r="N349" s="17" t="e">
        <f t="shared" si="82"/>
        <v>#DIV/0!</v>
      </c>
      <c r="O349" s="17" t="e">
        <f t="shared" si="83"/>
        <v>#DIV/0!</v>
      </c>
      <c r="P349" s="18" t="e">
        <f t="shared" si="84"/>
        <v>#DIV/0!</v>
      </c>
      <c r="Q349" s="19" t="e">
        <f t="shared" si="85"/>
        <v>#DIV/0!</v>
      </c>
      <c r="R349" s="19" t="e">
        <f t="shared" si="86"/>
        <v>#DIV/0!</v>
      </c>
      <c r="S349" s="20"/>
      <c r="T349" s="20">
        <f>[1]Лист4!B348</f>
        <v>0</v>
      </c>
    </row>
    <row r="350" spans="1:20" ht="15.75" x14ac:dyDescent="0.25">
      <c r="A350" s="11">
        <f>[1]Лист4!A349</f>
        <v>0</v>
      </c>
      <c r="B350" s="12">
        <f>[1]Лист4!C349</f>
        <v>0</v>
      </c>
      <c r="C350" s="13">
        <f>[1]Лист4!D349</f>
        <v>0</v>
      </c>
      <c r="D350" s="14" t="e">
        <f>[1]Лист4!F349</f>
        <v>#DIV/0!</v>
      </c>
      <c r="E350" s="15" t="e">
        <f t="shared" si="75"/>
        <v>#DIV/0!</v>
      </c>
      <c r="F350" s="15" t="e">
        <f t="shared" si="76"/>
        <v>#DIV/0!</v>
      </c>
      <c r="G350" s="16" t="e">
        <f t="shared" si="74"/>
        <v>#DIV/0!</v>
      </c>
      <c r="H350" s="16" t="e">
        <f t="shared" si="77"/>
        <v>#DIV/0!</v>
      </c>
      <c r="I350" s="16" t="e">
        <f t="shared" si="78"/>
        <v>#DIV/0!</v>
      </c>
      <c r="J350" s="16" t="e">
        <f t="shared" si="79"/>
        <v>#DIV/0!</v>
      </c>
      <c r="K350" s="16" t="e">
        <f t="shared" si="80"/>
        <v>#DIV/0!</v>
      </c>
      <c r="L350" s="17" t="e">
        <f t="shared" si="73"/>
        <v>#DIV/0!</v>
      </c>
      <c r="M350" s="16" t="e">
        <f t="shared" si="81"/>
        <v>#DIV/0!</v>
      </c>
      <c r="N350" s="17" t="e">
        <f t="shared" si="82"/>
        <v>#DIV/0!</v>
      </c>
      <c r="O350" s="17" t="e">
        <f t="shared" si="83"/>
        <v>#DIV/0!</v>
      </c>
      <c r="P350" s="18" t="e">
        <f t="shared" si="84"/>
        <v>#DIV/0!</v>
      </c>
      <c r="Q350" s="19" t="e">
        <f t="shared" si="85"/>
        <v>#DIV/0!</v>
      </c>
      <c r="R350" s="19" t="e">
        <f t="shared" si="86"/>
        <v>#DIV/0!</v>
      </c>
      <c r="S350" s="20"/>
      <c r="T350" s="20">
        <f>[1]Лист4!B349</f>
        <v>0</v>
      </c>
    </row>
    <row r="351" spans="1:20" ht="15.75" x14ac:dyDescent="0.25">
      <c r="A351" s="11">
        <f>[1]Лист4!A350</f>
        <v>0</v>
      </c>
      <c r="B351" s="12">
        <f>[1]Лист4!C350</f>
        <v>0</v>
      </c>
      <c r="C351" s="13">
        <f>[1]Лист4!D350</f>
        <v>0</v>
      </c>
      <c r="D351" s="14" t="e">
        <f>[1]Лист4!F350</f>
        <v>#DIV/0!</v>
      </c>
      <c r="E351" s="15" t="e">
        <f t="shared" si="75"/>
        <v>#DIV/0!</v>
      </c>
      <c r="F351" s="15" t="e">
        <f t="shared" si="76"/>
        <v>#DIV/0!</v>
      </c>
      <c r="G351" s="16" t="e">
        <f t="shared" si="74"/>
        <v>#DIV/0!</v>
      </c>
      <c r="H351" s="16" t="e">
        <f t="shared" si="77"/>
        <v>#DIV/0!</v>
      </c>
      <c r="I351" s="16" t="e">
        <f t="shared" si="78"/>
        <v>#DIV/0!</v>
      </c>
      <c r="J351" s="16" t="e">
        <f t="shared" si="79"/>
        <v>#DIV/0!</v>
      </c>
      <c r="K351" s="16" t="e">
        <f t="shared" si="80"/>
        <v>#DIV/0!</v>
      </c>
      <c r="L351" s="17" t="e">
        <f t="shared" si="73"/>
        <v>#DIV/0!</v>
      </c>
      <c r="M351" s="16" t="e">
        <f t="shared" si="81"/>
        <v>#DIV/0!</v>
      </c>
      <c r="N351" s="17" t="e">
        <f t="shared" si="82"/>
        <v>#DIV/0!</v>
      </c>
      <c r="O351" s="17" t="e">
        <f t="shared" si="83"/>
        <v>#DIV/0!</v>
      </c>
      <c r="P351" s="18" t="e">
        <f t="shared" si="84"/>
        <v>#DIV/0!</v>
      </c>
      <c r="Q351" s="19" t="e">
        <f t="shared" si="85"/>
        <v>#DIV/0!</v>
      </c>
      <c r="R351" s="19" t="e">
        <f t="shared" si="86"/>
        <v>#DIV/0!</v>
      </c>
      <c r="S351" s="20"/>
      <c r="T351" s="20">
        <f>[1]Лист4!B350</f>
        <v>0</v>
      </c>
    </row>
    <row r="352" spans="1:20" ht="15.75" x14ac:dyDescent="0.25">
      <c r="A352" s="11">
        <f>[1]Лист4!A351</f>
        <v>0</v>
      </c>
      <c r="B352" s="12">
        <f>[1]Лист4!C351</f>
        <v>0</v>
      </c>
      <c r="C352" s="13">
        <f>[1]Лист4!D351</f>
        <v>0</v>
      </c>
      <c r="D352" s="14" t="e">
        <f>[1]Лист4!F351</f>
        <v>#DIV/0!</v>
      </c>
      <c r="E352" s="15" t="e">
        <f t="shared" si="75"/>
        <v>#DIV/0!</v>
      </c>
      <c r="F352" s="15" t="e">
        <f t="shared" si="76"/>
        <v>#DIV/0!</v>
      </c>
      <c r="G352" s="16" t="e">
        <f t="shared" si="74"/>
        <v>#DIV/0!</v>
      </c>
      <c r="H352" s="16" t="e">
        <f t="shared" si="77"/>
        <v>#DIV/0!</v>
      </c>
      <c r="I352" s="16" t="e">
        <f t="shared" si="78"/>
        <v>#DIV/0!</v>
      </c>
      <c r="J352" s="16" t="e">
        <f t="shared" si="79"/>
        <v>#DIV/0!</v>
      </c>
      <c r="K352" s="16" t="e">
        <f t="shared" si="80"/>
        <v>#DIV/0!</v>
      </c>
      <c r="L352" s="17" t="e">
        <f t="shared" si="73"/>
        <v>#DIV/0!</v>
      </c>
      <c r="M352" s="16" t="e">
        <f t="shared" si="81"/>
        <v>#DIV/0!</v>
      </c>
      <c r="N352" s="17" t="e">
        <f t="shared" si="82"/>
        <v>#DIV/0!</v>
      </c>
      <c r="O352" s="17" t="e">
        <f t="shared" si="83"/>
        <v>#DIV/0!</v>
      </c>
      <c r="P352" s="18" t="e">
        <f t="shared" si="84"/>
        <v>#DIV/0!</v>
      </c>
      <c r="Q352" s="19" t="e">
        <f t="shared" si="85"/>
        <v>#DIV/0!</v>
      </c>
      <c r="R352" s="19" t="e">
        <f t="shared" si="86"/>
        <v>#DIV/0!</v>
      </c>
      <c r="S352" s="20"/>
      <c r="T352" s="20">
        <f>[1]Лист4!B351</f>
        <v>0</v>
      </c>
    </row>
    <row r="353" spans="1:20" ht="15.75" x14ac:dyDescent="0.25">
      <c r="A353" s="11">
        <f>[1]Лист4!A352</f>
        <v>0</v>
      </c>
      <c r="B353" s="12">
        <f>[1]Лист4!C352</f>
        <v>0</v>
      </c>
      <c r="C353" s="13">
        <f>[1]Лист4!D352</f>
        <v>0</v>
      </c>
      <c r="D353" s="14" t="e">
        <f>[1]Лист4!F352</f>
        <v>#DIV/0!</v>
      </c>
      <c r="E353" s="15" t="e">
        <f t="shared" si="75"/>
        <v>#DIV/0!</v>
      </c>
      <c r="F353" s="15" t="e">
        <f t="shared" si="76"/>
        <v>#DIV/0!</v>
      </c>
      <c r="G353" s="16" t="e">
        <f t="shared" si="74"/>
        <v>#DIV/0!</v>
      </c>
      <c r="H353" s="16" t="e">
        <f t="shared" si="77"/>
        <v>#DIV/0!</v>
      </c>
      <c r="I353" s="16" t="e">
        <f t="shared" si="78"/>
        <v>#DIV/0!</v>
      </c>
      <c r="J353" s="16" t="e">
        <f t="shared" si="79"/>
        <v>#DIV/0!</v>
      </c>
      <c r="K353" s="16" t="e">
        <f t="shared" si="80"/>
        <v>#DIV/0!</v>
      </c>
      <c r="L353" s="17" t="e">
        <f t="shared" si="73"/>
        <v>#DIV/0!</v>
      </c>
      <c r="M353" s="16" t="e">
        <f t="shared" si="81"/>
        <v>#DIV/0!</v>
      </c>
      <c r="N353" s="17" t="e">
        <f t="shared" si="82"/>
        <v>#DIV/0!</v>
      </c>
      <c r="O353" s="17" t="e">
        <f t="shared" si="83"/>
        <v>#DIV/0!</v>
      </c>
      <c r="P353" s="18" t="e">
        <f t="shared" si="84"/>
        <v>#DIV/0!</v>
      </c>
      <c r="Q353" s="19" t="e">
        <f t="shared" si="85"/>
        <v>#DIV/0!</v>
      </c>
      <c r="R353" s="19" t="e">
        <f t="shared" si="86"/>
        <v>#DIV/0!</v>
      </c>
      <c r="S353" s="20"/>
      <c r="T353" s="20">
        <f>[1]Лист4!B352</f>
        <v>0</v>
      </c>
    </row>
    <row r="354" spans="1:20" ht="15.75" x14ac:dyDescent="0.25">
      <c r="A354" s="11">
        <f>[1]Лист4!A353</f>
        <v>0</v>
      </c>
      <c r="B354" s="12">
        <f>[1]Лист4!C353</f>
        <v>0</v>
      </c>
      <c r="C354" s="13">
        <f>[1]Лист4!D353</f>
        <v>0</v>
      </c>
      <c r="D354" s="14" t="e">
        <f>[1]Лист4!F353</f>
        <v>#DIV/0!</v>
      </c>
      <c r="E354" s="15" t="e">
        <f t="shared" si="75"/>
        <v>#DIV/0!</v>
      </c>
      <c r="F354" s="15" t="e">
        <f t="shared" si="76"/>
        <v>#DIV/0!</v>
      </c>
      <c r="G354" s="16" t="e">
        <f t="shared" si="74"/>
        <v>#DIV/0!</v>
      </c>
      <c r="H354" s="16" t="e">
        <f t="shared" si="77"/>
        <v>#DIV/0!</v>
      </c>
      <c r="I354" s="16" t="e">
        <f t="shared" si="78"/>
        <v>#DIV/0!</v>
      </c>
      <c r="J354" s="16" t="e">
        <f t="shared" si="79"/>
        <v>#DIV/0!</v>
      </c>
      <c r="K354" s="16" t="e">
        <f t="shared" si="80"/>
        <v>#DIV/0!</v>
      </c>
      <c r="L354" s="17" t="e">
        <f t="shared" si="73"/>
        <v>#DIV/0!</v>
      </c>
      <c r="M354" s="16" t="e">
        <f t="shared" si="81"/>
        <v>#DIV/0!</v>
      </c>
      <c r="N354" s="17" t="e">
        <f t="shared" si="82"/>
        <v>#DIV/0!</v>
      </c>
      <c r="O354" s="17" t="e">
        <f t="shared" si="83"/>
        <v>#DIV/0!</v>
      </c>
      <c r="P354" s="18" t="e">
        <f t="shared" si="84"/>
        <v>#DIV/0!</v>
      </c>
      <c r="Q354" s="19" t="e">
        <f t="shared" si="85"/>
        <v>#DIV/0!</v>
      </c>
      <c r="R354" s="19" t="e">
        <f t="shared" si="86"/>
        <v>#DIV/0!</v>
      </c>
      <c r="S354" s="20"/>
      <c r="T354" s="20">
        <f>[1]Лист4!B353</f>
        <v>0</v>
      </c>
    </row>
    <row r="355" spans="1:20" ht="15.75" x14ac:dyDescent="0.25">
      <c r="A355" s="11">
        <f>[1]Лист4!A354</f>
        <v>0</v>
      </c>
      <c r="B355" s="12">
        <f>[1]Лист4!C354</f>
        <v>0</v>
      </c>
      <c r="C355" s="13">
        <f>[1]Лист4!D354</f>
        <v>0</v>
      </c>
      <c r="D355" s="14" t="e">
        <f>[1]Лист4!F354</f>
        <v>#DIV/0!</v>
      </c>
      <c r="E355" s="15" t="e">
        <f t="shared" si="75"/>
        <v>#DIV/0!</v>
      </c>
      <c r="F355" s="15" t="e">
        <f t="shared" si="76"/>
        <v>#DIV/0!</v>
      </c>
      <c r="G355" s="16" t="e">
        <f t="shared" si="74"/>
        <v>#DIV/0!</v>
      </c>
      <c r="H355" s="16" t="e">
        <f t="shared" si="77"/>
        <v>#DIV/0!</v>
      </c>
      <c r="I355" s="16" t="e">
        <f t="shared" si="78"/>
        <v>#DIV/0!</v>
      </c>
      <c r="J355" s="16" t="e">
        <f t="shared" si="79"/>
        <v>#DIV/0!</v>
      </c>
      <c r="K355" s="16" t="e">
        <f t="shared" si="80"/>
        <v>#DIV/0!</v>
      </c>
      <c r="L355" s="17" t="e">
        <f t="shared" ref="L355:L418" si="87">G355*1.55</f>
        <v>#DIV/0!</v>
      </c>
      <c r="M355" s="16" t="e">
        <f t="shared" si="81"/>
        <v>#DIV/0!</v>
      </c>
      <c r="N355" s="17" t="e">
        <f t="shared" si="82"/>
        <v>#DIV/0!</v>
      </c>
      <c r="O355" s="17" t="e">
        <f t="shared" si="83"/>
        <v>#DIV/0!</v>
      </c>
      <c r="P355" s="18" t="e">
        <f t="shared" si="84"/>
        <v>#DIV/0!</v>
      </c>
      <c r="Q355" s="19" t="e">
        <f t="shared" si="85"/>
        <v>#DIV/0!</v>
      </c>
      <c r="R355" s="19" t="e">
        <f t="shared" si="86"/>
        <v>#DIV/0!</v>
      </c>
      <c r="S355" s="20"/>
      <c r="T355" s="20">
        <f>[1]Лист4!B354</f>
        <v>0</v>
      </c>
    </row>
    <row r="356" spans="1:20" ht="15.75" x14ac:dyDescent="0.25">
      <c r="A356" s="11">
        <f>[1]Лист4!A355</f>
        <v>0</v>
      </c>
      <c r="B356" s="12">
        <f>[1]Лист4!C355</f>
        <v>0</v>
      </c>
      <c r="C356" s="13">
        <f>[1]Лист4!D355</f>
        <v>0</v>
      </c>
      <c r="D356" s="14" t="e">
        <f>[1]Лист4!F355</f>
        <v>#DIV/0!</v>
      </c>
      <c r="E356" s="15" t="e">
        <f t="shared" si="75"/>
        <v>#DIV/0!</v>
      </c>
      <c r="F356" s="15" t="e">
        <f t="shared" si="76"/>
        <v>#DIV/0!</v>
      </c>
      <c r="G356" s="16" t="e">
        <f t="shared" si="74"/>
        <v>#DIV/0!</v>
      </c>
      <c r="H356" s="16" t="e">
        <f t="shared" si="77"/>
        <v>#DIV/0!</v>
      </c>
      <c r="I356" s="16" t="e">
        <f t="shared" si="78"/>
        <v>#DIV/0!</v>
      </c>
      <c r="J356" s="16" t="e">
        <f t="shared" si="79"/>
        <v>#DIV/0!</v>
      </c>
      <c r="K356" s="16" t="e">
        <f t="shared" si="80"/>
        <v>#DIV/0!</v>
      </c>
      <c r="L356" s="17" t="e">
        <f t="shared" si="87"/>
        <v>#DIV/0!</v>
      </c>
      <c r="M356" s="16" t="e">
        <f t="shared" si="81"/>
        <v>#DIV/0!</v>
      </c>
      <c r="N356" s="17" t="e">
        <f t="shared" si="82"/>
        <v>#DIV/0!</v>
      </c>
      <c r="O356" s="17" t="e">
        <f t="shared" si="83"/>
        <v>#DIV/0!</v>
      </c>
      <c r="P356" s="18" t="e">
        <f t="shared" si="84"/>
        <v>#DIV/0!</v>
      </c>
      <c r="Q356" s="19" t="e">
        <f t="shared" si="85"/>
        <v>#DIV/0!</v>
      </c>
      <c r="R356" s="19" t="e">
        <f t="shared" si="86"/>
        <v>#DIV/0!</v>
      </c>
      <c r="S356" s="20"/>
      <c r="T356" s="20">
        <f>[1]Лист4!B355</f>
        <v>0</v>
      </c>
    </row>
    <row r="357" spans="1:20" ht="15.75" x14ac:dyDescent="0.25">
      <c r="A357" s="11">
        <f>[1]Лист4!A356</f>
        <v>0</v>
      </c>
      <c r="B357" s="12">
        <f>[1]Лист4!C356</f>
        <v>0</v>
      </c>
      <c r="C357" s="13">
        <f>[1]Лист4!D356</f>
        <v>0</v>
      </c>
      <c r="D357" s="14" t="e">
        <f>[1]Лист4!F356</f>
        <v>#DIV/0!</v>
      </c>
      <c r="E357" s="15" t="e">
        <f t="shared" si="75"/>
        <v>#DIV/0!</v>
      </c>
      <c r="F357" s="15" t="e">
        <f t="shared" si="76"/>
        <v>#DIV/0!</v>
      </c>
      <c r="G357" s="16" t="e">
        <f t="shared" si="74"/>
        <v>#DIV/0!</v>
      </c>
      <c r="H357" s="16" t="e">
        <f t="shared" si="77"/>
        <v>#DIV/0!</v>
      </c>
      <c r="I357" s="16" t="e">
        <f t="shared" si="78"/>
        <v>#DIV/0!</v>
      </c>
      <c r="J357" s="16" t="e">
        <f t="shared" si="79"/>
        <v>#DIV/0!</v>
      </c>
      <c r="K357" s="16" t="e">
        <f t="shared" si="80"/>
        <v>#DIV/0!</v>
      </c>
      <c r="L357" s="17" t="e">
        <f t="shared" si="87"/>
        <v>#DIV/0!</v>
      </c>
      <c r="M357" s="16" t="e">
        <f t="shared" si="81"/>
        <v>#DIV/0!</v>
      </c>
      <c r="N357" s="17" t="e">
        <f t="shared" si="82"/>
        <v>#DIV/0!</v>
      </c>
      <c r="O357" s="17" t="e">
        <f t="shared" si="83"/>
        <v>#DIV/0!</v>
      </c>
      <c r="P357" s="18" t="e">
        <f t="shared" si="84"/>
        <v>#DIV/0!</v>
      </c>
      <c r="Q357" s="19" t="e">
        <f t="shared" si="85"/>
        <v>#DIV/0!</v>
      </c>
      <c r="R357" s="19" t="e">
        <f t="shared" si="86"/>
        <v>#DIV/0!</v>
      </c>
      <c r="S357" s="20"/>
      <c r="T357" s="20">
        <f>[1]Лист4!B356</f>
        <v>0</v>
      </c>
    </row>
    <row r="358" spans="1:20" ht="15.75" x14ac:dyDescent="0.25">
      <c r="A358" s="11">
        <f>[1]Лист4!A357</f>
        <v>0</v>
      </c>
      <c r="B358" s="12">
        <f>[1]Лист4!C357</f>
        <v>0</v>
      </c>
      <c r="C358" s="13">
        <f>[1]Лист4!D357</f>
        <v>0</v>
      </c>
      <c r="D358" s="14" t="e">
        <f>[1]Лист4!F357</f>
        <v>#DIV/0!</v>
      </c>
      <c r="E358" s="15" t="e">
        <f t="shared" si="75"/>
        <v>#DIV/0!</v>
      </c>
      <c r="F358" s="15" t="e">
        <f t="shared" si="76"/>
        <v>#DIV/0!</v>
      </c>
      <c r="G358" s="16" t="e">
        <f t="shared" si="74"/>
        <v>#DIV/0!</v>
      </c>
      <c r="H358" s="16" t="e">
        <f t="shared" si="77"/>
        <v>#DIV/0!</v>
      </c>
      <c r="I358" s="16" t="e">
        <f t="shared" si="78"/>
        <v>#DIV/0!</v>
      </c>
      <c r="J358" s="16" t="e">
        <f t="shared" si="79"/>
        <v>#DIV/0!</v>
      </c>
      <c r="K358" s="16" t="e">
        <f t="shared" si="80"/>
        <v>#DIV/0!</v>
      </c>
      <c r="L358" s="17" t="e">
        <f t="shared" si="87"/>
        <v>#DIV/0!</v>
      </c>
      <c r="M358" s="16" t="e">
        <f t="shared" si="81"/>
        <v>#DIV/0!</v>
      </c>
      <c r="N358" s="17" t="e">
        <f t="shared" si="82"/>
        <v>#DIV/0!</v>
      </c>
      <c r="O358" s="17" t="e">
        <f t="shared" si="83"/>
        <v>#DIV/0!</v>
      </c>
      <c r="P358" s="18" t="e">
        <f t="shared" si="84"/>
        <v>#DIV/0!</v>
      </c>
      <c r="Q358" s="19" t="e">
        <f t="shared" si="85"/>
        <v>#DIV/0!</v>
      </c>
      <c r="R358" s="19" t="e">
        <f t="shared" si="86"/>
        <v>#DIV/0!</v>
      </c>
      <c r="S358" s="20"/>
      <c r="T358" s="20">
        <f>[1]Лист4!B357</f>
        <v>0</v>
      </c>
    </row>
    <row r="359" spans="1:20" ht="15.75" x14ac:dyDescent="0.25">
      <c r="A359" s="11">
        <f>[1]Лист4!A358</f>
        <v>0</v>
      </c>
      <c r="B359" s="12">
        <f>[1]Лист4!C358</f>
        <v>0</v>
      </c>
      <c r="C359" s="13">
        <f>[1]Лист4!D358</f>
        <v>0</v>
      </c>
      <c r="D359" s="14" t="e">
        <f>[1]Лист4!F358</f>
        <v>#DIV/0!</v>
      </c>
      <c r="E359" s="15" t="e">
        <f t="shared" si="75"/>
        <v>#DIV/0!</v>
      </c>
      <c r="F359" s="15" t="e">
        <f t="shared" si="76"/>
        <v>#DIV/0!</v>
      </c>
      <c r="G359" s="16" t="e">
        <f t="shared" si="74"/>
        <v>#DIV/0!</v>
      </c>
      <c r="H359" s="16" t="e">
        <f t="shared" si="77"/>
        <v>#DIV/0!</v>
      </c>
      <c r="I359" s="16" t="e">
        <f t="shared" si="78"/>
        <v>#DIV/0!</v>
      </c>
      <c r="J359" s="16" t="e">
        <f t="shared" si="79"/>
        <v>#DIV/0!</v>
      </c>
      <c r="K359" s="16" t="e">
        <f t="shared" si="80"/>
        <v>#DIV/0!</v>
      </c>
      <c r="L359" s="17" t="e">
        <f t="shared" si="87"/>
        <v>#DIV/0!</v>
      </c>
      <c r="M359" s="16" t="e">
        <f t="shared" si="81"/>
        <v>#DIV/0!</v>
      </c>
      <c r="N359" s="17" t="e">
        <f t="shared" si="82"/>
        <v>#DIV/0!</v>
      </c>
      <c r="O359" s="17" t="e">
        <f t="shared" si="83"/>
        <v>#DIV/0!</v>
      </c>
      <c r="P359" s="18" t="e">
        <f t="shared" si="84"/>
        <v>#DIV/0!</v>
      </c>
      <c r="Q359" s="19" t="e">
        <f t="shared" si="85"/>
        <v>#DIV/0!</v>
      </c>
      <c r="R359" s="19" t="e">
        <f t="shared" si="86"/>
        <v>#DIV/0!</v>
      </c>
      <c r="S359" s="20"/>
      <c r="T359" s="20">
        <f>[1]Лист4!B358</f>
        <v>0</v>
      </c>
    </row>
    <row r="360" spans="1:20" ht="15.75" x14ac:dyDescent="0.25">
      <c r="A360" s="11">
        <f>[1]Лист4!A359</f>
        <v>0</v>
      </c>
      <c r="B360" s="12">
        <f>[1]Лист4!C359</f>
        <v>0</v>
      </c>
      <c r="C360" s="13">
        <f>[1]Лист4!D359</f>
        <v>0</v>
      </c>
      <c r="D360" s="14" t="e">
        <f>[1]Лист4!F359</f>
        <v>#DIV/0!</v>
      </c>
      <c r="E360" s="15" t="e">
        <f t="shared" si="75"/>
        <v>#DIV/0!</v>
      </c>
      <c r="F360" s="15" t="e">
        <f t="shared" si="76"/>
        <v>#DIV/0!</v>
      </c>
      <c r="G360" s="16" t="e">
        <f t="shared" si="74"/>
        <v>#DIV/0!</v>
      </c>
      <c r="H360" s="16" t="e">
        <f t="shared" si="77"/>
        <v>#DIV/0!</v>
      </c>
      <c r="I360" s="16" t="e">
        <f t="shared" si="78"/>
        <v>#DIV/0!</v>
      </c>
      <c r="J360" s="16" t="e">
        <f t="shared" si="79"/>
        <v>#DIV/0!</v>
      </c>
      <c r="K360" s="16" t="e">
        <f t="shared" si="80"/>
        <v>#DIV/0!</v>
      </c>
      <c r="L360" s="17" t="e">
        <f t="shared" si="87"/>
        <v>#DIV/0!</v>
      </c>
      <c r="M360" s="16" t="e">
        <f t="shared" si="81"/>
        <v>#DIV/0!</v>
      </c>
      <c r="N360" s="17" t="e">
        <f t="shared" si="82"/>
        <v>#DIV/0!</v>
      </c>
      <c r="O360" s="17" t="e">
        <f t="shared" si="83"/>
        <v>#DIV/0!</v>
      </c>
      <c r="P360" s="18" t="e">
        <f t="shared" si="84"/>
        <v>#DIV/0!</v>
      </c>
      <c r="Q360" s="19" t="e">
        <f t="shared" si="85"/>
        <v>#DIV/0!</v>
      </c>
      <c r="R360" s="19" t="e">
        <f t="shared" si="86"/>
        <v>#DIV/0!</v>
      </c>
      <c r="S360" s="20"/>
      <c r="T360" s="20">
        <f>[1]Лист4!B359</f>
        <v>0</v>
      </c>
    </row>
    <row r="361" spans="1:20" ht="15.75" x14ac:dyDescent="0.25">
      <c r="A361" s="11">
        <f>[1]Лист4!A360</f>
        <v>0</v>
      </c>
      <c r="B361" s="12">
        <f>[1]Лист4!C360</f>
        <v>0</v>
      </c>
      <c r="C361" s="13">
        <f>[1]Лист4!D360</f>
        <v>0</v>
      </c>
      <c r="D361" s="14" t="e">
        <f>[1]Лист4!F360</f>
        <v>#DIV/0!</v>
      </c>
      <c r="E361" s="15" t="e">
        <f t="shared" si="75"/>
        <v>#DIV/0!</v>
      </c>
      <c r="F361" s="15" t="e">
        <f t="shared" si="76"/>
        <v>#DIV/0!</v>
      </c>
      <c r="G361" s="16" t="e">
        <f t="shared" si="74"/>
        <v>#DIV/0!</v>
      </c>
      <c r="H361" s="16" t="e">
        <f t="shared" si="77"/>
        <v>#DIV/0!</v>
      </c>
      <c r="I361" s="16" t="e">
        <f t="shared" si="78"/>
        <v>#DIV/0!</v>
      </c>
      <c r="J361" s="16" t="e">
        <f t="shared" si="79"/>
        <v>#DIV/0!</v>
      </c>
      <c r="K361" s="16" t="e">
        <f t="shared" si="80"/>
        <v>#DIV/0!</v>
      </c>
      <c r="L361" s="17" t="e">
        <f t="shared" si="87"/>
        <v>#DIV/0!</v>
      </c>
      <c r="M361" s="16" t="e">
        <f t="shared" si="81"/>
        <v>#DIV/0!</v>
      </c>
      <c r="N361" s="17" t="e">
        <f t="shared" si="82"/>
        <v>#DIV/0!</v>
      </c>
      <c r="O361" s="17" t="e">
        <f t="shared" si="83"/>
        <v>#DIV/0!</v>
      </c>
      <c r="P361" s="18" t="e">
        <f t="shared" si="84"/>
        <v>#DIV/0!</v>
      </c>
      <c r="Q361" s="19" t="e">
        <f t="shared" si="85"/>
        <v>#DIV/0!</v>
      </c>
      <c r="R361" s="19" t="e">
        <f t="shared" si="86"/>
        <v>#DIV/0!</v>
      </c>
      <c r="S361" s="20"/>
      <c r="T361" s="20">
        <f>[1]Лист4!B360</f>
        <v>0</v>
      </c>
    </row>
    <row r="362" spans="1:20" ht="15.75" x14ac:dyDescent="0.25">
      <c r="A362" s="11">
        <f>[1]Лист4!A361</f>
        <v>0</v>
      </c>
      <c r="B362" s="12">
        <f>[1]Лист4!C361</f>
        <v>0</v>
      </c>
      <c r="C362" s="13">
        <f>[1]Лист4!D361</f>
        <v>0</v>
      </c>
      <c r="D362" s="14" t="e">
        <f>[1]Лист4!F361</f>
        <v>#DIV/0!</v>
      </c>
      <c r="E362" s="15" t="e">
        <f t="shared" si="75"/>
        <v>#DIV/0!</v>
      </c>
      <c r="F362" s="15" t="e">
        <f t="shared" si="76"/>
        <v>#DIV/0!</v>
      </c>
      <c r="G362" s="16" t="e">
        <f t="shared" si="74"/>
        <v>#DIV/0!</v>
      </c>
      <c r="H362" s="16" t="e">
        <f t="shared" si="77"/>
        <v>#DIV/0!</v>
      </c>
      <c r="I362" s="16" t="e">
        <f t="shared" si="78"/>
        <v>#DIV/0!</v>
      </c>
      <c r="J362" s="16" t="e">
        <f t="shared" si="79"/>
        <v>#DIV/0!</v>
      </c>
      <c r="K362" s="16" t="e">
        <f t="shared" si="80"/>
        <v>#DIV/0!</v>
      </c>
      <c r="L362" s="17" t="e">
        <f t="shared" si="87"/>
        <v>#DIV/0!</v>
      </c>
      <c r="M362" s="16" t="e">
        <f t="shared" si="81"/>
        <v>#DIV/0!</v>
      </c>
      <c r="N362" s="17" t="e">
        <f t="shared" si="82"/>
        <v>#DIV/0!</v>
      </c>
      <c r="O362" s="17" t="e">
        <f t="shared" si="83"/>
        <v>#DIV/0!</v>
      </c>
      <c r="P362" s="18" t="e">
        <f t="shared" si="84"/>
        <v>#DIV/0!</v>
      </c>
      <c r="Q362" s="19" t="e">
        <f t="shared" si="85"/>
        <v>#DIV/0!</v>
      </c>
      <c r="R362" s="19" t="e">
        <f t="shared" si="86"/>
        <v>#DIV/0!</v>
      </c>
      <c r="S362" s="20"/>
      <c r="T362" s="20">
        <f>[1]Лист4!B361</f>
        <v>0</v>
      </c>
    </row>
    <row r="363" spans="1:20" ht="15.75" x14ac:dyDescent="0.25">
      <c r="A363" s="11">
        <f>[1]Лист4!A362</f>
        <v>0</v>
      </c>
      <c r="B363" s="12">
        <f>[1]Лист4!C362</f>
        <v>0</v>
      </c>
      <c r="C363" s="13">
        <f>[1]Лист4!D362</f>
        <v>0</v>
      </c>
      <c r="D363" s="14" t="e">
        <f>[1]Лист4!F362</f>
        <v>#DIV/0!</v>
      </c>
      <c r="E363" s="15" t="e">
        <f t="shared" si="75"/>
        <v>#DIV/0!</v>
      </c>
      <c r="F363" s="15" t="e">
        <f t="shared" si="76"/>
        <v>#DIV/0!</v>
      </c>
      <c r="G363" s="16" t="e">
        <f t="shared" si="74"/>
        <v>#DIV/0!</v>
      </c>
      <c r="H363" s="16" t="e">
        <f t="shared" si="77"/>
        <v>#DIV/0!</v>
      </c>
      <c r="I363" s="16" t="e">
        <f t="shared" si="78"/>
        <v>#DIV/0!</v>
      </c>
      <c r="J363" s="16" t="e">
        <f t="shared" si="79"/>
        <v>#DIV/0!</v>
      </c>
      <c r="K363" s="16" t="e">
        <f t="shared" si="80"/>
        <v>#DIV/0!</v>
      </c>
      <c r="L363" s="17" t="e">
        <f t="shared" si="87"/>
        <v>#DIV/0!</v>
      </c>
      <c r="M363" s="16" t="e">
        <f t="shared" si="81"/>
        <v>#DIV/0!</v>
      </c>
      <c r="N363" s="17" t="e">
        <f t="shared" si="82"/>
        <v>#DIV/0!</v>
      </c>
      <c r="O363" s="17" t="e">
        <f t="shared" si="83"/>
        <v>#DIV/0!</v>
      </c>
      <c r="P363" s="18" t="e">
        <f t="shared" si="84"/>
        <v>#DIV/0!</v>
      </c>
      <c r="Q363" s="19" t="e">
        <f t="shared" si="85"/>
        <v>#DIV/0!</v>
      </c>
      <c r="R363" s="19" t="e">
        <f t="shared" si="86"/>
        <v>#DIV/0!</v>
      </c>
      <c r="S363" s="20"/>
      <c r="T363" s="20">
        <f>[1]Лист4!B362</f>
        <v>0</v>
      </c>
    </row>
    <row r="364" spans="1:20" ht="15.75" x14ac:dyDescent="0.25">
      <c r="A364" s="11">
        <f>[1]Лист4!A363</f>
        <v>0</v>
      </c>
      <c r="B364" s="12">
        <f>[1]Лист4!C363</f>
        <v>0</v>
      </c>
      <c r="C364" s="13">
        <f>[1]Лист4!D363</f>
        <v>0</v>
      </c>
      <c r="D364" s="14" t="e">
        <f>[1]Лист4!F363</f>
        <v>#DIV/0!</v>
      </c>
      <c r="E364" s="15" t="e">
        <f t="shared" si="75"/>
        <v>#DIV/0!</v>
      </c>
      <c r="F364" s="15" t="e">
        <f t="shared" si="76"/>
        <v>#DIV/0!</v>
      </c>
      <c r="G364" s="16" t="e">
        <f t="shared" si="74"/>
        <v>#DIV/0!</v>
      </c>
      <c r="H364" s="16" t="e">
        <f t="shared" si="77"/>
        <v>#DIV/0!</v>
      </c>
      <c r="I364" s="16" t="e">
        <f t="shared" si="78"/>
        <v>#DIV/0!</v>
      </c>
      <c r="J364" s="16" t="e">
        <f t="shared" si="79"/>
        <v>#DIV/0!</v>
      </c>
      <c r="K364" s="16" t="e">
        <f t="shared" si="80"/>
        <v>#DIV/0!</v>
      </c>
      <c r="L364" s="17" t="e">
        <f t="shared" si="87"/>
        <v>#DIV/0!</v>
      </c>
      <c r="M364" s="16" t="e">
        <f t="shared" si="81"/>
        <v>#DIV/0!</v>
      </c>
      <c r="N364" s="17" t="e">
        <f t="shared" si="82"/>
        <v>#DIV/0!</v>
      </c>
      <c r="O364" s="17" t="e">
        <f t="shared" si="83"/>
        <v>#DIV/0!</v>
      </c>
      <c r="P364" s="18" t="e">
        <f t="shared" si="84"/>
        <v>#DIV/0!</v>
      </c>
      <c r="Q364" s="19" t="e">
        <f t="shared" si="85"/>
        <v>#DIV/0!</v>
      </c>
      <c r="R364" s="19" t="e">
        <f t="shared" si="86"/>
        <v>#DIV/0!</v>
      </c>
      <c r="S364" s="20"/>
      <c r="T364" s="20">
        <f>[1]Лист4!B363</f>
        <v>0</v>
      </c>
    </row>
    <row r="365" spans="1:20" ht="15.75" x14ac:dyDescent="0.25">
      <c r="A365" s="11">
        <f>[1]Лист4!A364</f>
        <v>0</v>
      </c>
      <c r="B365" s="12">
        <f>[1]Лист4!C364</f>
        <v>0</v>
      </c>
      <c r="C365" s="13">
        <f>[1]Лист4!D364</f>
        <v>0</v>
      </c>
      <c r="D365" s="14" t="e">
        <f>[1]Лист4!F364</f>
        <v>#DIV/0!</v>
      </c>
      <c r="E365" s="15" t="e">
        <f t="shared" si="75"/>
        <v>#DIV/0!</v>
      </c>
      <c r="F365" s="15" t="e">
        <f t="shared" si="76"/>
        <v>#DIV/0!</v>
      </c>
      <c r="G365" s="16" t="e">
        <f t="shared" si="74"/>
        <v>#DIV/0!</v>
      </c>
      <c r="H365" s="16" t="e">
        <f t="shared" si="77"/>
        <v>#DIV/0!</v>
      </c>
      <c r="I365" s="16" t="e">
        <f t="shared" si="78"/>
        <v>#DIV/0!</v>
      </c>
      <c r="J365" s="16" t="e">
        <f t="shared" si="79"/>
        <v>#DIV/0!</v>
      </c>
      <c r="K365" s="16" t="e">
        <f t="shared" si="80"/>
        <v>#DIV/0!</v>
      </c>
      <c r="L365" s="17" t="e">
        <f t="shared" si="87"/>
        <v>#DIV/0!</v>
      </c>
      <c r="M365" s="16" t="e">
        <f t="shared" si="81"/>
        <v>#DIV/0!</v>
      </c>
      <c r="N365" s="17" t="e">
        <f t="shared" si="82"/>
        <v>#DIV/0!</v>
      </c>
      <c r="O365" s="17" t="e">
        <f t="shared" si="83"/>
        <v>#DIV/0!</v>
      </c>
      <c r="P365" s="18" t="e">
        <f t="shared" si="84"/>
        <v>#DIV/0!</v>
      </c>
      <c r="Q365" s="19" t="e">
        <f t="shared" si="85"/>
        <v>#DIV/0!</v>
      </c>
      <c r="R365" s="19" t="e">
        <f t="shared" si="86"/>
        <v>#DIV/0!</v>
      </c>
      <c r="S365" s="20"/>
      <c r="T365" s="20">
        <f>[1]Лист4!B364</f>
        <v>0</v>
      </c>
    </row>
    <row r="366" spans="1:20" ht="15.75" x14ac:dyDescent="0.25">
      <c r="A366" s="11">
        <f>[1]Лист4!A365</f>
        <v>0</v>
      </c>
      <c r="B366" s="12">
        <f>[1]Лист4!C365</f>
        <v>0</v>
      </c>
      <c r="C366" s="13">
        <f>[1]Лист4!D365</f>
        <v>0</v>
      </c>
      <c r="D366" s="14" t="e">
        <f>[1]Лист4!F365</f>
        <v>#DIV/0!</v>
      </c>
      <c r="E366" s="15" t="e">
        <f t="shared" si="75"/>
        <v>#DIV/0!</v>
      </c>
      <c r="F366" s="15" t="e">
        <f t="shared" si="76"/>
        <v>#DIV/0!</v>
      </c>
      <c r="G366" s="16" t="e">
        <f t="shared" si="74"/>
        <v>#DIV/0!</v>
      </c>
      <c r="H366" s="16" t="e">
        <f t="shared" si="77"/>
        <v>#DIV/0!</v>
      </c>
      <c r="I366" s="16" t="e">
        <f t="shared" si="78"/>
        <v>#DIV/0!</v>
      </c>
      <c r="J366" s="16" t="e">
        <f t="shared" si="79"/>
        <v>#DIV/0!</v>
      </c>
      <c r="K366" s="16" t="e">
        <f t="shared" si="80"/>
        <v>#DIV/0!</v>
      </c>
      <c r="L366" s="17" t="e">
        <f t="shared" si="87"/>
        <v>#DIV/0!</v>
      </c>
      <c r="M366" s="16" t="e">
        <f t="shared" si="81"/>
        <v>#DIV/0!</v>
      </c>
      <c r="N366" s="17" t="e">
        <f t="shared" si="82"/>
        <v>#DIV/0!</v>
      </c>
      <c r="O366" s="17" t="e">
        <f t="shared" si="83"/>
        <v>#DIV/0!</v>
      </c>
      <c r="P366" s="18" t="e">
        <f t="shared" si="84"/>
        <v>#DIV/0!</v>
      </c>
      <c r="Q366" s="19" t="e">
        <f t="shared" si="85"/>
        <v>#DIV/0!</v>
      </c>
      <c r="R366" s="19" t="e">
        <f t="shared" si="86"/>
        <v>#DIV/0!</v>
      </c>
      <c r="S366" s="20"/>
      <c r="T366" s="20">
        <f>[1]Лист4!B365</f>
        <v>0</v>
      </c>
    </row>
    <row r="367" spans="1:20" ht="15.75" x14ac:dyDescent="0.25">
      <c r="A367" s="11">
        <f>[1]Лист4!A366</f>
        <v>0</v>
      </c>
      <c r="B367" s="12">
        <f>[1]Лист4!C366</f>
        <v>0</v>
      </c>
      <c r="C367" s="13">
        <f>[1]Лист4!D366</f>
        <v>0</v>
      </c>
      <c r="D367" s="14" t="e">
        <f>[1]Лист4!F366</f>
        <v>#DIV/0!</v>
      </c>
      <c r="E367" s="15" t="e">
        <f t="shared" si="75"/>
        <v>#DIV/0!</v>
      </c>
      <c r="F367" s="15" t="e">
        <f t="shared" si="76"/>
        <v>#DIV/0!</v>
      </c>
      <c r="G367" s="16" t="e">
        <f t="shared" si="74"/>
        <v>#DIV/0!</v>
      </c>
      <c r="H367" s="16" t="e">
        <f t="shared" si="77"/>
        <v>#DIV/0!</v>
      </c>
      <c r="I367" s="16" t="e">
        <f t="shared" si="78"/>
        <v>#DIV/0!</v>
      </c>
      <c r="J367" s="16" t="e">
        <f t="shared" si="79"/>
        <v>#DIV/0!</v>
      </c>
      <c r="K367" s="16" t="e">
        <f t="shared" si="80"/>
        <v>#DIV/0!</v>
      </c>
      <c r="L367" s="17" t="e">
        <f t="shared" si="87"/>
        <v>#DIV/0!</v>
      </c>
      <c r="M367" s="16" t="e">
        <f t="shared" si="81"/>
        <v>#DIV/0!</v>
      </c>
      <c r="N367" s="17" t="e">
        <f t="shared" si="82"/>
        <v>#DIV/0!</v>
      </c>
      <c r="O367" s="17" t="e">
        <f t="shared" si="83"/>
        <v>#DIV/0!</v>
      </c>
      <c r="P367" s="18" t="e">
        <f t="shared" si="84"/>
        <v>#DIV/0!</v>
      </c>
      <c r="Q367" s="19" t="e">
        <f t="shared" si="85"/>
        <v>#DIV/0!</v>
      </c>
      <c r="R367" s="19" t="e">
        <f t="shared" si="86"/>
        <v>#DIV/0!</v>
      </c>
      <c r="S367" s="20"/>
      <c r="T367" s="20">
        <f>[1]Лист4!B366</f>
        <v>0</v>
      </c>
    </row>
    <row r="368" spans="1:20" ht="15.75" x14ac:dyDescent="0.25">
      <c r="A368" s="11">
        <f>[1]Лист4!A367</f>
        <v>0</v>
      </c>
      <c r="B368" s="12">
        <f>[1]Лист4!C367</f>
        <v>0</v>
      </c>
      <c r="C368" s="13">
        <f>[1]Лист4!D367</f>
        <v>0</v>
      </c>
      <c r="D368" s="14" t="e">
        <f>[1]Лист4!F367</f>
        <v>#DIV/0!</v>
      </c>
      <c r="E368" s="15" t="e">
        <f t="shared" si="75"/>
        <v>#DIV/0!</v>
      </c>
      <c r="F368" s="15" t="e">
        <f t="shared" si="76"/>
        <v>#DIV/0!</v>
      </c>
      <c r="G368" s="16" t="e">
        <f t="shared" si="74"/>
        <v>#DIV/0!</v>
      </c>
      <c r="H368" s="16" t="e">
        <f t="shared" si="77"/>
        <v>#DIV/0!</v>
      </c>
      <c r="I368" s="16" t="e">
        <f t="shared" si="78"/>
        <v>#DIV/0!</v>
      </c>
      <c r="J368" s="16" t="e">
        <f t="shared" si="79"/>
        <v>#DIV/0!</v>
      </c>
      <c r="K368" s="16" t="e">
        <f t="shared" si="80"/>
        <v>#DIV/0!</v>
      </c>
      <c r="L368" s="17" t="e">
        <f t="shared" si="87"/>
        <v>#DIV/0!</v>
      </c>
      <c r="M368" s="16" t="e">
        <f t="shared" si="81"/>
        <v>#DIV/0!</v>
      </c>
      <c r="N368" s="17" t="e">
        <f t="shared" si="82"/>
        <v>#DIV/0!</v>
      </c>
      <c r="O368" s="17" t="e">
        <f t="shared" si="83"/>
        <v>#DIV/0!</v>
      </c>
      <c r="P368" s="18" t="e">
        <f t="shared" si="84"/>
        <v>#DIV/0!</v>
      </c>
      <c r="Q368" s="19" t="e">
        <f t="shared" si="85"/>
        <v>#DIV/0!</v>
      </c>
      <c r="R368" s="19" t="e">
        <f t="shared" si="86"/>
        <v>#DIV/0!</v>
      </c>
      <c r="S368" s="20"/>
      <c r="T368" s="20">
        <f>[1]Лист4!B367</f>
        <v>0</v>
      </c>
    </row>
    <row r="369" spans="1:20" ht="15.75" x14ac:dyDescent="0.25">
      <c r="A369" s="11">
        <f>[1]Лист4!A368</f>
        <v>0</v>
      </c>
      <c r="B369" s="12">
        <f>[1]Лист4!C368</f>
        <v>0</v>
      </c>
      <c r="C369" s="13">
        <f>[1]Лист4!D368</f>
        <v>0</v>
      </c>
      <c r="D369" s="14" t="e">
        <f>[1]Лист4!F368</f>
        <v>#DIV/0!</v>
      </c>
      <c r="E369" s="15" t="e">
        <f t="shared" si="75"/>
        <v>#DIV/0!</v>
      </c>
      <c r="F369" s="15" t="e">
        <f t="shared" si="76"/>
        <v>#DIV/0!</v>
      </c>
      <c r="G369" s="16" t="e">
        <f t="shared" si="74"/>
        <v>#DIV/0!</v>
      </c>
      <c r="H369" s="16" t="e">
        <f t="shared" si="77"/>
        <v>#DIV/0!</v>
      </c>
      <c r="I369" s="16" t="e">
        <f t="shared" si="78"/>
        <v>#DIV/0!</v>
      </c>
      <c r="J369" s="16" t="e">
        <f t="shared" si="79"/>
        <v>#DIV/0!</v>
      </c>
      <c r="K369" s="16" t="e">
        <f t="shared" si="80"/>
        <v>#DIV/0!</v>
      </c>
      <c r="L369" s="17" t="e">
        <f t="shared" si="87"/>
        <v>#DIV/0!</v>
      </c>
      <c r="M369" s="16" t="e">
        <f t="shared" si="81"/>
        <v>#DIV/0!</v>
      </c>
      <c r="N369" s="17" t="e">
        <f t="shared" si="82"/>
        <v>#DIV/0!</v>
      </c>
      <c r="O369" s="17" t="e">
        <f t="shared" si="83"/>
        <v>#DIV/0!</v>
      </c>
      <c r="P369" s="18" t="e">
        <f t="shared" si="84"/>
        <v>#DIV/0!</v>
      </c>
      <c r="Q369" s="19" t="e">
        <f t="shared" si="85"/>
        <v>#DIV/0!</v>
      </c>
      <c r="R369" s="19" t="e">
        <f t="shared" si="86"/>
        <v>#DIV/0!</v>
      </c>
      <c r="S369" s="20"/>
      <c r="T369" s="20">
        <f>[1]Лист4!B368</f>
        <v>0</v>
      </c>
    </row>
    <row r="370" spans="1:20" ht="15.75" x14ac:dyDescent="0.25">
      <c r="A370" s="11">
        <f>[1]Лист4!A369</f>
        <v>0</v>
      </c>
      <c r="B370" s="12">
        <f>[1]Лист4!C369</f>
        <v>0</v>
      </c>
      <c r="C370" s="13">
        <f>[1]Лист4!D369</f>
        <v>0</v>
      </c>
      <c r="D370" s="14" t="e">
        <f>[1]Лист4!F369</f>
        <v>#DIV/0!</v>
      </c>
      <c r="E370" s="15" t="e">
        <f t="shared" si="75"/>
        <v>#DIV/0!</v>
      </c>
      <c r="F370" s="15" t="e">
        <f t="shared" si="76"/>
        <v>#DIV/0!</v>
      </c>
      <c r="G370" s="16" t="e">
        <f t="shared" si="74"/>
        <v>#DIV/0!</v>
      </c>
      <c r="H370" s="16" t="e">
        <f t="shared" si="77"/>
        <v>#DIV/0!</v>
      </c>
      <c r="I370" s="16" t="e">
        <f t="shared" si="78"/>
        <v>#DIV/0!</v>
      </c>
      <c r="J370" s="16" t="e">
        <f t="shared" si="79"/>
        <v>#DIV/0!</v>
      </c>
      <c r="K370" s="16" t="e">
        <f t="shared" si="80"/>
        <v>#DIV/0!</v>
      </c>
      <c r="L370" s="17" t="e">
        <f t="shared" si="87"/>
        <v>#DIV/0!</v>
      </c>
      <c r="M370" s="16" t="e">
        <f t="shared" si="81"/>
        <v>#DIV/0!</v>
      </c>
      <c r="N370" s="17" t="e">
        <f t="shared" si="82"/>
        <v>#DIV/0!</v>
      </c>
      <c r="O370" s="17" t="e">
        <f t="shared" si="83"/>
        <v>#DIV/0!</v>
      </c>
      <c r="P370" s="18" t="e">
        <f t="shared" si="84"/>
        <v>#DIV/0!</v>
      </c>
      <c r="Q370" s="19" t="e">
        <f t="shared" si="85"/>
        <v>#DIV/0!</v>
      </c>
      <c r="R370" s="19" t="e">
        <f t="shared" si="86"/>
        <v>#DIV/0!</v>
      </c>
      <c r="S370" s="20"/>
      <c r="T370" s="20">
        <f>[1]Лист4!B369</f>
        <v>0</v>
      </c>
    </row>
    <row r="371" spans="1:20" ht="15.75" x14ac:dyDescent="0.25">
      <c r="A371" s="11">
        <f>[1]Лист4!A370</f>
        <v>0</v>
      </c>
      <c r="B371" s="12">
        <f>[1]Лист4!C370</f>
        <v>0</v>
      </c>
      <c r="C371" s="13">
        <f>[1]Лист4!D370</f>
        <v>0</v>
      </c>
      <c r="D371" s="14" t="e">
        <f>[1]Лист4!F370</f>
        <v>#DIV/0!</v>
      </c>
      <c r="E371" s="15" t="e">
        <f t="shared" si="75"/>
        <v>#DIV/0!</v>
      </c>
      <c r="F371" s="15" t="e">
        <f t="shared" si="76"/>
        <v>#DIV/0!</v>
      </c>
      <c r="G371" s="16" t="e">
        <f t="shared" si="74"/>
        <v>#DIV/0!</v>
      </c>
      <c r="H371" s="16" t="e">
        <f t="shared" si="77"/>
        <v>#DIV/0!</v>
      </c>
      <c r="I371" s="16" t="e">
        <f t="shared" si="78"/>
        <v>#DIV/0!</v>
      </c>
      <c r="J371" s="16" t="e">
        <f t="shared" si="79"/>
        <v>#DIV/0!</v>
      </c>
      <c r="K371" s="16" t="e">
        <f t="shared" si="80"/>
        <v>#DIV/0!</v>
      </c>
      <c r="L371" s="17" t="e">
        <f t="shared" si="87"/>
        <v>#DIV/0!</v>
      </c>
      <c r="M371" s="16" t="e">
        <f t="shared" si="81"/>
        <v>#DIV/0!</v>
      </c>
      <c r="N371" s="17" t="e">
        <f t="shared" si="82"/>
        <v>#DIV/0!</v>
      </c>
      <c r="O371" s="17" t="e">
        <f t="shared" si="83"/>
        <v>#DIV/0!</v>
      </c>
      <c r="P371" s="18" t="e">
        <f t="shared" si="84"/>
        <v>#DIV/0!</v>
      </c>
      <c r="Q371" s="19" t="e">
        <f t="shared" si="85"/>
        <v>#DIV/0!</v>
      </c>
      <c r="R371" s="19" t="e">
        <f t="shared" si="86"/>
        <v>#DIV/0!</v>
      </c>
      <c r="S371" s="20"/>
      <c r="T371" s="20">
        <f>[1]Лист4!B370</f>
        <v>0</v>
      </c>
    </row>
    <row r="372" spans="1:20" ht="15.75" x14ac:dyDescent="0.25">
      <c r="A372" s="11">
        <f>[1]Лист4!A371</f>
        <v>0</v>
      </c>
      <c r="B372" s="12">
        <f>[1]Лист4!C371</f>
        <v>0</v>
      </c>
      <c r="C372" s="13">
        <f>[1]Лист4!D371</f>
        <v>0</v>
      </c>
      <c r="D372" s="14" t="e">
        <f>[1]Лист4!F371</f>
        <v>#DIV/0!</v>
      </c>
      <c r="E372" s="15" t="e">
        <f t="shared" si="75"/>
        <v>#DIV/0!</v>
      </c>
      <c r="F372" s="15" t="e">
        <f t="shared" si="76"/>
        <v>#DIV/0!</v>
      </c>
      <c r="G372" s="16" t="e">
        <f t="shared" si="74"/>
        <v>#DIV/0!</v>
      </c>
      <c r="H372" s="16" t="e">
        <f t="shared" si="77"/>
        <v>#DIV/0!</v>
      </c>
      <c r="I372" s="16" t="e">
        <f t="shared" si="78"/>
        <v>#DIV/0!</v>
      </c>
      <c r="J372" s="16" t="e">
        <f t="shared" si="79"/>
        <v>#DIV/0!</v>
      </c>
      <c r="K372" s="16" t="e">
        <f t="shared" si="80"/>
        <v>#DIV/0!</v>
      </c>
      <c r="L372" s="17" t="e">
        <f t="shared" si="87"/>
        <v>#DIV/0!</v>
      </c>
      <c r="M372" s="16" t="e">
        <f t="shared" si="81"/>
        <v>#DIV/0!</v>
      </c>
      <c r="N372" s="17" t="e">
        <f t="shared" si="82"/>
        <v>#DIV/0!</v>
      </c>
      <c r="O372" s="17" t="e">
        <f t="shared" si="83"/>
        <v>#DIV/0!</v>
      </c>
      <c r="P372" s="18" t="e">
        <f t="shared" si="84"/>
        <v>#DIV/0!</v>
      </c>
      <c r="Q372" s="19" t="e">
        <f t="shared" si="85"/>
        <v>#DIV/0!</v>
      </c>
      <c r="R372" s="19" t="e">
        <f t="shared" si="86"/>
        <v>#DIV/0!</v>
      </c>
      <c r="S372" s="20"/>
      <c r="T372" s="20">
        <f>[1]Лист4!B371</f>
        <v>0</v>
      </c>
    </row>
    <row r="373" spans="1:20" ht="15.75" x14ac:dyDescent="0.25">
      <c r="A373" s="11">
        <f>[1]Лист4!A372</f>
        <v>0</v>
      </c>
      <c r="B373" s="12">
        <f>[1]Лист4!C372</f>
        <v>0</v>
      </c>
      <c r="C373" s="13">
        <f>[1]Лист4!D372</f>
        <v>0</v>
      </c>
      <c r="D373" s="14" t="e">
        <f>[1]Лист4!F372</f>
        <v>#DIV/0!</v>
      </c>
      <c r="E373" s="15" t="e">
        <f t="shared" si="75"/>
        <v>#DIV/0!</v>
      </c>
      <c r="F373" s="15" t="e">
        <f t="shared" si="76"/>
        <v>#DIV/0!</v>
      </c>
      <c r="G373" s="16" t="e">
        <f t="shared" si="74"/>
        <v>#DIV/0!</v>
      </c>
      <c r="H373" s="16" t="e">
        <f t="shared" si="77"/>
        <v>#DIV/0!</v>
      </c>
      <c r="I373" s="16" t="e">
        <f t="shared" si="78"/>
        <v>#DIV/0!</v>
      </c>
      <c r="J373" s="16" t="e">
        <f t="shared" si="79"/>
        <v>#DIV/0!</v>
      </c>
      <c r="K373" s="16" t="e">
        <f t="shared" si="80"/>
        <v>#DIV/0!</v>
      </c>
      <c r="L373" s="17" t="e">
        <f t="shared" si="87"/>
        <v>#DIV/0!</v>
      </c>
      <c r="M373" s="16" t="e">
        <f t="shared" si="81"/>
        <v>#DIV/0!</v>
      </c>
      <c r="N373" s="17" t="e">
        <f t="shared" si="82"/>
        <v>#DIV/0!</v>
      </c>
      <c r="O373" s="17" t="e">
        <f t="shared" si="83"/>
        <v>#DIV/0!</v>
      </c>
      <c r="P373" s="18" t="e">
        <f t="shared" si="84"/>
        <v>#DIV/0!</v>
      </c>
      <c r="Q373" s="19" t="e">
        <f t="shared" si="85"/>
        <v>#DIV/0!</v>
      </c>
      <c r="R373" s="19" t="e">
        <f t="shared" si="86"/>
        <v>#DIV/0!</v>
      </c>
      <c r="S373" s="20"/>
      <c r="T373" s="20">
        <f>[1]Лист4!B372</f>
        <v>0</v>
      </c>
    </row>
    <row r="374" spans="1:20" ht="15.75" x14ac:dyDescent="0.25">
      <c r="A374" s="11">
        <f>[1]Лист4!A373</f>
        <v>0</v>
      </c>
      <c r="B374" s="12">
        <f>[1]Лист4!C373</f>
        <v>0</v>
      </c>
      <c r="C374" s="13">
        <f>[1]Лист4!D373</f>
        <v>0</v>
      </c>
      <c r="D374" s="14" t="e">
        <f>[1]Лист4!F373</f>
        <v>#DIV/0!</v>
      </c>
      <c r="E374" s="15" t="e">
        <f t="shared" si="75"/>
        <v>#DIV/0!</v>
      </c>
      <c r="F374" s="15" t="e">
        <f t="shared" si="76"/>
        <v>#DIV/0!</v>
      </c>
      <c r="G374" s="16" t="e">
        <f t="shared" ref="G374:G437" si="88">ROUND((((D374*1.15)*1.18)+F374+0.14)*1.2,2)</f>
        <v>#DIV/0!</v>
      </c>
      <c r="H374" s="16" t="e">
        <f t="shared" si="77"/>
        <v>#DIV/0!</v>
      </c>
      <c r="I374" s="16" t="e">
        <f t="shared" si="78"/>
        <v>#DIV/0!</v>
      </c>
      <c r="J374" s="16" t="e">
        <f t="shared" si="79"/>
        <v>#DIV/0!</v>
      </c>
      <c r="K374" s="16" t="e">
        <f t="shared" si="80"/>
        <v>#DIV/0!</v>
      </c>
      <c r="L374" s="17" t="e">
        <f t="shared" si="87"/>
        <v>#DIV/0!</v>
      </c>
      <c r="M374" s="16" t="e">
        <f t="shared" si="81"/>
        <v>#DIV/0!</v>
      </c>
      <c r="N374" s="17" t="e">
        <f t="shared" si="82"/>
        <v>#DIV/0!</v>
      </c>
      <c r="O374" s="17" t="e">
        <f t="shared" si="83"/>
        <v>#DIV/0!</v>
      </c>
      <c r="P374" s="18" t="e">
        <f t="shared" si="84"/>
        <v>#DIV/0!</v>
      </c>
      <c r="Q374" s="19" t="e">
        <f t="shared" si="85"/>
        <v>#DIV/0!</v>
      </c>
      <c r="R374" s="19" t="e">
        <f t="shared" si="86"/>
        <v>#DIV/0!</v>
      </c>
      <c r="S374" s="20"/>
      <c r="T374" s="20">
        <f>[1]Лист4!B373</f>
        <v>0</v>
      </c>
    </row>
    <row r="375" spans="1:20" ht="15.75" x14ac:dyDescent="0.25">
      <c r="A375" s="11">
        <f>[1]Лист4!A374</f>
        <v>0</v>
      </c>
      <c r="B375" s="12">
        <f>[1]Лист4!C374</f>
        <v>0</v>
      </c>
      <c r="C375" s="13">
        <f>[1]Лист4!D374</f>
        <v>0</v>
      </c>
      <c r="D375" s="14" t="e">
        <f>[1]Лист4!F374</f>
        <v>#DIV/0!</v>
      </c>
      <c r="E375" s="15" t="e">
        <f t="shared" si="75"/>
        <v>#DIV/0!</v>
      </c>
      <c r="F375" s="15" t="e">
        <f t="shared" si="76"/>
        <v>#DIV/0!</v>
      </c>
      <c r="G375" s="16" t="e">
        <f t="shared" si="88"/>
        <v>#DIV/0!</v>
      </c>
      <c r="H375" s="16" t="e">
        <f t="shared" si="77"/>
        <v>#DIV/0!</v>
      </c>
      <c r="I375" s="16" t="e">
        <f t="shared" si="78"/>
        <v>#DIV/0!</v>
      </c>
      <c r="J375" s="16" t="e">
        <f t="shared" si="79"/>
        <v>#DIV/0!</v>
      </c>
      <c r="K375" s="16" t="e">
        <f t="shared" si="80"/>
        <v>#DIV/0!</v>
      </c>
      <c r="L375" s="17" t="e">
        <f t="shared" si="87"/>
        <v>#DIV/0!</v>
      </c>
      <c r="M375" s="16" t="e">
        <f t="shared" si="81"/>
        <v>#DIV/0!</v>
      </c>
      <c r="N375" s="17" t="e">
        <f t="shared" si="82"/>
        <v>#DIV/0!</v>
      </c>
      <c r="O375" s="17" t="e">
        <f t="shared" si="83"/>
        <v>#DIV/0!</v>
      </c>
      <c r="P375" s="18" t="e">
        <f t="shared" si="84"/>
        <v>#DIV/0!</v>
      </c>
      <c r="Q375" s="19" t="e">
        <f t="shared" si="85"/>
        <v>#DIV/0!</v>
      </c>
      <c r="R375" s="19" t="e">
        <f t="shared" si="86"/>
        <v>#DIV/0!</v>
      </c>
      <c r="S375" s="20"/>
      <c r="T375" s="20">
        <f>[1]Лист4!B374</f>
        <v>0</v>
      </c>
    </row>
    <row r="376" spans="1:20" ht="15.75" x14ac:dyDescent="0.25">
      <c r="A376" s="11">
        <f>[1]Лист4!A375</f>
        <v>0</v>
      </c>
      <c r="B376" s="12">
        <f>[1]Лист4!C375</f>
        <v>0</v>
      </c>
      <c r="C376" s="13">
        <f>[1]Лист4!D375</f>
        <v>0</v>
      </c>
      <c r="D376" s="14" t="e">
        <f>[1]Лист4!F375</f>
        <v>#DIV/0!</v>
      </c>
      <c r="E376" s="15" t="e">
        <f t="shared" si="75"/>
        <v>#DIV/0!</v>
      </c>
      <c r="F376" s="15" t="e">
        <f t="shared" si="76"/>
        <v>#DIV/0!</v>
      </c>
      <c r="G376" s="16" t="e">
        <f t="shared" si="88"/>
        <v>#DIV/0!</v>
      </c>
      <c r="H376" s="16" t="e">
        <f t="shared" si="77"/>
        <v>#DIV/0!</v>
      </c>
      <c r="I376" s="16" t="e">
        <f t="shared" si="78"/>
        <v>#DIV/0!</v>
      </c>
      <c r="J376" s="16" t="e">
        <f t="shared" si="79"/>
        <v>#DIV/0!</v>
      </c>
      <c r="K376" s="16" t="e">
        <f t="shared" si="80"/>
        <v>#DIV/0!</v>
      </c>
      <c r="L376" s="17" t="e">
        <f t="shared" si="87"/>
        <v>#DIV/0!</v>
      </c>
      <c r="M376" s="16" t="e">
        <f t="shared" si="81"/>
        <v>#DIV/0!</v>
      </c>
      <c r="N376" s="17" t="e">
        <f t="shared" si="82"/>
        <v>#DIV/0!</v>
      </c>
      <c r="O376" s="17" t="e">
        <f t="shared" si="83"/>
        <v>#DIV/0!</v>
      </c>
      <c r="P376" s="18" t="e">
        <f t="shared" si="84"/>
        <v>#DIV/0!</v>
      </c>
      <c r="Q376" s="19" t="e">
        <f t="shared" si="85"/>
        <v>#DIV/0!</v>
      </c>
      <c r="R376" s="19" t="e">
        <f t="shared" si="86"/>
        <v>#DIV/0!</v>
      </c>
      <c r="S376" s="20"/>
      <c r="T376" s="20">
        <f>[1]Лист4!B375</f>
        <v>0</v>
      </c>
    </row>
    <row r="377" spans="1:20" ht="15.75" x14ac:dyDescent="0.25">
      <c r="A377" s="11">
        <f>[1]Лист4!A376</f>
        <v>0</v>
      </c>
      <c r="B377" s="12">
        <f>[1]Лист4!C376</f>
        <v>0</v>
      </c>
      <c r="C377" s="13">
        <f>[1]Лист4!D376</f>
        <v>0</v>
      </c>
      <c r="D377" s="14" t="e">
        <f>[1]Лист4!F376</f>
        <v>#DIV/0!</v>
      </c>
      <c r="E377" s="15" t="e">
        <f t="shared" si="75"/>
        <v>#DIV/0!</v>
      </c>
      <c r="F377" s="15" t="e">
        <f t="shared" si="76"/>
        <v>#DIV/0!</v>
      </c>
      <c r="G377" s="16" t="e">
        <f t="shared" si="88"/>
        <v>#DIV/0!</v>
      </c>
      <c r="H377" s="16" t="e">
        <f t="shared" si="77"/>
        <v>#DIV/0!</v>
      </c>
      <c r="I377" s="16" t="e">
        <f t="shared" si="78"/>
        <v>#DIV/0!</v>
      </c>
      <c r="J377" s="16" t="e">
        <f t="shared" si="79"/>
        <v>#DIV/0!</v>
      </c>
      <c r="K377" s="16" t="e">
        <f t="shared" si="80"/>
        <v>#DIV/0!</v>
      </c>
      <c r="L377" s="17" t="e">
        <f t="shared" si="87"/>
        <v>#DIV/0!</v>
      </c>
      <c r="M377" s="16" t="e">
        <f t="shared" si="81"/>
        <v>#DIV/0!</v>
      </c>
      <c r="N377" s="17" t="e">
        <f t="shared" si="82"/>
        <v>#DIV/0!</v>
      </c>
      <c r="O377" s="17" t="e">
        <f t="shared" si="83"/>
        <v>#DIV/0!</v>
      </c>
      <c r="P377" s="18" t="e">
        <f t="shared" si="84"/>
        <v>#DIV/0!</v>
      </c>
      <c r="Q377" s="19" t="e">
        <f t="shared" si="85"/>
        <v>#DIV/0!</v>
      </c>
      <c r="R377" s="19" t="e">
        <f t="shared" si="86"/>
        <v>#DIV/0!</v>
      </c>
      <c r="S377" s="20"/>
      <c r="T377" s="20">
        <f>[1]Лист4!B376</f>
        <v>0</v>
      </c>
    </row>
    <row r="378" spans="1:20" ht="15.75" x14ac:dyDescent="0.25">
      <c r="A378" s="11">
        <f>[1]Лист4!A377</f>
        <v>0</v>
      </c>
      <c r="B378" s="12">
        <f>[1]Лист4!C377</f>
        <v>0</v>
      </c>
      <c r="C378" s="13">
        <f>[1]Лист4!D377</f>
        <v>0</v>
      </c>
      <c r="D378" s="14" t="e">
        <f>[1]Лист4!F377</f>
        <v>#DIV/0!</v>
      </c>
      <c r="E378" s="15" t="e">
        <f t="shared" si="75"/>
        <v>#DIV/0!</v>
      </c>
      <c r="F378" s="15" t="e">
        <f t="shared" si="76"/>
        <v>#DIV/0!</v>
      </c>
      <c r="G378" s="16" t="e">
        <f t="shared" si="88"/>
        <v>#DIV/0!</v>
      </c>
      <c r="H378" s="16" t="e">
        <f t="shared" si="77"/>
        <v>#DIV/0!</v>
      </c>
      <c r="I378" s="16" t="e">
        <f t="shared" si="78"/>
        <v>#DIV/0!</v>
      </c>
      <c r="J378" s="16" t="e">
        <f t="shared" si="79"/>
        <v>#DIV/0!</v>
      </c>
      <c r="K378" s="16" t="e">
        <f t="shared" si="80"/>
        <v>#DIV/0!</v>
      </c>
      <c r="L378" s="17" t="e">
        <f t="shared" si="87"/>
        <v>#DIV/0!</v>
      </c>
      <c r="M378" s="16" t="e">
        <f t="shared" si="81"/>
        <v>#DIV/0!</v>
      </c>
      <c r="N378" s="17" t="e">
        <f t="shared" si="82"/>
        <v>#DIV/0!</v>
      </c>
      <c r="O378" s="17" t="e">
        <f t="shared" si="83"/>
        <v>#DIV/0!</v>
      </c>
      <c r="P378" s="18" t="e">
        <f t="shared" si="84"/>
        <v>#DIV/0!</v>
      </c>
      <c r="Q378" s="19" t="e">
        <f t="shared" si="85"/>
        <v>#DIV/0!</v>
      </c>
      <c r="R378" s="19" t="e">
        <f t="shared" si="86"/>
        <v>#DIV/0!</v>
      </c>
      <c r="S378" s="20"/>
      <c r="T378" s="20">
        <f>[1]Лист4!B377</f>
        <v>0</v>
      </c>
    </row>
    <row r="379" spans="1:20" ht="15.75" x14ac:dyDescent="0.25">
      <c r="A379" s="11">
        <f>[1]Лист4!A378</f>
        <v>0</v>
      </c>
      <c r="B379" s="12">
        <f>[1]Лист4!C378</f>
        <v>0</v>
      </c>
      <c r="C379" s="13">
        <f>[1]Лист4!D378</f>
        <v>0</v>
      </c>
      <c r="D379" s="14" t="e">
        <f>[1]Лист4!F378</f>
        <v>#DIV/0!</v>
      </c>
      <c r="E379" s="15" t="e">
        <f t="shared" si="75"/>
        <v>#DIV/0!</v>
      </c>
      <c r="F379" s="15" t="e">
        <f t="shared" si="76"/>
        <v>#DIV/0!</v>
      </c>
      <c r="G379" s="16" t="e">
        <f t="shared" si="88"/>
        <v>#DIV/0!</v>
      </c>
      <c r="H379" s="16" t="e">
        <f t="shared" si="77"/>
        <v>#DIV/0!</v>
      </c>
      <c r="I379" s="16" t="e">
        <f t="shared" si="78"/>
        <v>#DIV/0!</v>
      </c>
      <c r="J379" s="16" t="e">
        <f t="shared" si="79"/>
        <v>#DIV/0!</v>
      </c>
      <c r="K379" s="16" t="e">
        <f t="shared" si="80"/>
        <v>#DIV/0!</v>
      </c>
      <c r="L379" s="17" t="e">
        <f t="shared" si="87"/>
        <v>#DIV/0!</v>
      </c>
      <c r="M379" s="16" t="e">
        <f t="shared" si="81"/>
        <v>#DIV/0!</v>
      </c>
      <c r="N379" s="17" t="e">
        <f t="shared" si="82"/>
        <v>#DIV/0!</v>
      </c>
      <c r="O379" s="17" t="e">
        <f t="shared" si="83"/>
        <v>#DIV/0!</v>
      </c>
      <c r="P379" s="18" t="e">
        <f t="shared" si="84"/>
        <v>#DIV/0!</v>
      </c>
      <c r="Q379" s="19" t="e">
        <f t="shared" si="85"/>
        <v>#DIV/0!</v>
      </c>
      <c r="R379" s="19" t="e">
        <f t="shared" si="86"/>
        <v>#DIV/0!</v>
      </c>
      <c r="S379" s="20"/>
      <c r="T379" s="20">
        <f>[1]Лист4!B378</f>
        <v>0</v>
      </c>
    </row>
    <row r="380" spans="1:20" ht="15.75" x14ac:dyDescent="0.25">
      <c r="A380" s="11">
        <f>[1]Лист4!A379</f>
        <v>0</v>
      </c>
      <c r="B380" s="12">
        <f>[1]Лист4!C379</f>
        <v>0</v>
      </c>
      <c r="C380" s="13">
        <f>[1]Лист4!D379</f>
        <v>0</v>
      </c>
      <c r="D380" s="14" t="e">
        <f>[1]Лист4!F379</f>
        <v>#DIV/0!</v>
      </c>
      <c r="E380" s="15" t="e">
        <f t="shared" si="75"/>
        <v>#DIV/0!</v>
      </c>
      <c r="F380" s="15" t="e">
        <f t="shared" si="76"/>
        <v>#DIV/0!</v>
      </c>
      <c r="G380" s="16" t="e">
        <f t="shared" si="88"/>
        <v>#DIV/0!</v>
      </c>
      <c r="H380" s="16" t="e">
        <f t="shared" si="77"/>
        <v>#DIV/0!</v>
      </c>
      <c r="I380" s="16" t="e">
        <f t="shared" si="78"/>
        <v>#DIV/0!</v>
      </c>
      <c r="J380" s="16" t="e">
        <f t="shared" si="79"/>
        <v>#DIV/0!</v>
      </c>
      <c r="K380" s="16" t="e">
        <f t="shared" si="80"/>
        <v>#DIV/0!</v>
      </c>
      <c r="L380" s="17" t="e">
        <f t="shared" si="87"/>
        <v>#DIV/0!</v>
      </c>
      <c r="M380" s="16" t="e">
        <f t="shared" si="81"/>
        <v>#DIV/0!</v>
      </c>
      <c r="N380" s="17" t="e">
        <f t="shared" si="82"/>
        <v>#DIV/0!</v>
      </c>
      <c r="O380" s="17" t="e">
        <f t="shared" si="83"/>
        <v>#DIV/0!</v>
      </c>
      <c r="P380" s="18" t="e">
        <f t="shared" si="84"/>
        <v>#DIV/0!</v>
      </c>
      <c r="Q380" s="19" t="e">
        <f t="shared" si="85"/>
        <v>#DIV/0!</v>
      </c>
      <c r="R380" s="19" t="e">
        <f t="shared" si="86"/>
        <v>#DIV/0!</v>
      </c>
      <c r="S380" s="20"/>
      <c r="T380" s="20">
        <f>[1]Лист4!B379</f>
        <v>0</v>
      </c>
    </row>
    <row r="381" spans="1:20" ht="15.75" x14ac:dyDescent="0.25">
      <c r="A381" s="11">
        <f>[1]Лист4!A380</f>
        <v>0</v>
      </c>
      <c r="B381" s="12">
        <f>[1]Лист4!C380</f>
        <v>0</v>
      </c>
      <c r="C381" s="13">
        <f>[1]Лист4!D380</f>
        <v>0</v>
      </c>
      <c r="D381" s="14" t="e">
        <f>[1]Лист4!F380</f>
        <v>#DIV/0!</v>
      </c>
      <c r="E381" s="15" t="e">
        <f t="shared" si="75"/>
        <v>#DIV/0!</v>
      </c>
      <c r="F381" s="15" t="e">
        <f t="shared" si="76"/>
        <v>#DIV/0!</v>
      </c>
      <c r="G381" s="16" t="e">
        <f t="shared" si="88"/>
        <v>#DIV/0!</v>
      </c>
      <c r="H381" s="16" t="e">
        <f t="shared" si="77"/>
        <v>#DIV/0!</v>
      </c>
      <c r="I381" s="16" t="e">
        <f t="shared" si="78"/>
        <v>#DIV/0!</v>
      </c>
      <c r="J381" s="16" t="e">
        <f t="shared" si="79"/>
        <v>#DIV/0!</v>
      </c>
      <c r="K381" s="16" t="e">
        <f t="shared" si="80"/>
        <v>#DIV/0!</v>
      </c>
      <c r="L381" s="17" t="e">
        <f t="shared" si="87"/>
        <v>#DIV/0!</v>
      </c>
      <c r="M381" s="16" t="e">
        <f t="shared" si="81"/>
        <v>#DIV/0!</v>
      </c>
      <c r="N381" s="17" t="e">
        <f t="shared" si="82"/>
        <v>#DIV/0!</v>
      </c>
      <c r="O381" s="17" t="e">
        <f t="shared" si="83"/>
        <v>#DIV/0!</v>
      </c>
      <c r="P381" s="18" t="e">
        <f t="shared" si="84"/>
        <v>#DIV/0!</v>
      </c>
      <c r="Q381" s="19" t="e">
        <f t="shared" si="85"/>
        <v>#DIV/0!</v>
      </c>
      <c r="R381" s="19" t="e">
        <f t="shared" si="86"/>
        <v>#DIV/0!</v>
      </c>
      <c r="S381" s="20"/>
      <c r="T381" s="20">
        <f>[1]Лист4!B380</f>
        <v>0</v>
      </c>
    </row>
    <row r="382" spans="1:20" ht="15.75" x14ac:dyDescent="0.25">
      <c r="A382" s="11">
        <f>[1]Лист4!A381</f>
        <v>0</v>
      </c>
      <c r="B382" s="12">
        <f>[1]Лист4!C381</f>
        <v>0</v>
      </c>
      <c r="C382" s="13">
        <f>[1]Лист4!D381</f>
        <v>0</v>
      </c>
      <c r="D382" s="14" t="e">
        <f>[1]Лист4!F381</f>
        <v>#DIV/0!</v>
      </c>
      <c r="E382" s="15" t="e">
        <f t="shared" si="75"/>
        <v>#DIV/0!</v>
      </c>
      <c r="F382" s="15" t="e">
        <f t="shared" si="76"/>
        <v>#DIV/0!</v>
      </c>
      <c r="G382" s="16" t="e">
        <f t="shared" si="88"/>
        <v>#DIV/0!</v>
      </c>
      <c r="H382" s="16" t="e">
        <f t="shared" si="77"/>
        <v>#DIV/0!</v>
      </c>
      <c r="I382" s="16" t="e">
        <f t="shared" si="78"/>
        <v>#DIV/0!</v>
      </c>
      <c r="J382" s="16" t="e">
        <f t="shared" si="79"/>
        <v>#DIV/0!</v>
      </c>
      <c r="K382" s="16" t="e">
        <f t="shared" si="80"/>
        <v>#DIV/0!</v>
      </c>
      <c r="L382" s="17" t="e">
        <f t="shared" si="87"/>
        <v>#DIV/0!</v>
      </c>
      <c r="M382" s="16" t="e">
        <f t="shared" si="81"/>
        <v>#DIV/0!</v>
      </c>
      <c r="N382" s="17" t="e">
        <f t="shared" si="82"/>
        <v>#DIV/0!</v>
      </c>
      <c r="O382" s="17" t="e">
        <f t="shared" si="83"/>
        <v>#DIV/0!</v>
      </c>
      <c r="P382" s="18" t="e">
        <f t="shared" si="84"/>
        <v>#DIV/0!</v>
      </c>
      <c r="Q382" s="19" t="e">
        <f t="shared" si="85"/>
        <v>#DIV/0!</v>
      </c>
      <c r="R382" s="19" t="e">
        <f t="shared" si="86"/>
        <v>#DIV/0!</v>
      </c>
      <c r="S382" s="20"/>
      <c r="T382" s="20">
        <f>[1]Лист4!B381</f>
        <v>0</v>
      </c>
    </row>
    <row r="383" spans="1:20" ht="15.75" x14ac:dyDescent="0.25">
      <c r="A383" s="11">
        <f>[1]Лист4!A382</f>
        <v>0</v>
      </c>
      <c r="B383" s="12">
        <f>[1]Лист4!C382</f>
        <v>0</v>
      </c>
      <c r="C383" s="13">
        <f>[1]Лист4!D382</f>
        <v>0</v>
      </c>
      <c r="D383" s="14" t="e">
        <f>[1]Лист4!F382</f>
        <v>#DIV/0!</v>
      </c>
      <c r="E383" s="15" t="e">
        <f t="shared" si="75"/>
        <v>#DIV/0!</v>
      </c>
      <c r="F383" s="15" t="e">
        <f t="shared" si="76"/>
        <v>#DIV/0!</v>
      </c>
      <c r="G383" s="16" t="e">
        <f t="shared" si="88"/>
        <v>#DIV/0!</v>
      </c>
      <c r="H383" s="16" t="e">
        <f t="shared" si="77"/>
        <v>#DIV/0!</v>
      </c>
      <c r="I383" s="16" t="e">
        <f t="shared" si="78"/>
        <v>#DIV/0!</v>
      </c>
      <c r="J383" s="16" t="e">
        <f t="shared" si="79"/>
        <v>#DIV/0!</v>
      </c>
      <c r="K383" s="16" t="e">
        <f t="shared" si="80"/>
        <v>#DIV/0!</v>
      </c>
      <c r="L383" s="17" t="e">
        <f t="shared" si="87"/>
        <v>#DIV/0!</v>
      </c>
      <c r="M383" s="16" t="e">
        <f t="shared" si="81"/>
        <v>#DIV/0!</v>
      </c>
      <c r="N383" s="17" t="e">
        <f t="shared" si="82"/>
        <v>#DIV/0!</v>
      </c>
      <c r="O383" s="17" t="e">
        <f t="shared" si="83"/>
        <v>#DIV/0!</v>
      </c>
      <c r="P383" s="18" t="e">
        <f t="shared" si="84"/>
        <v>#DIV/0!</v>
      </c>
      <c r="Q383" s="19" t="e">
        <f t="shared" si="85"/>
        <v>#DIV/0!</v>
      </c>
      <c r="R383" s="19" t="e">
        <f t="shared" si="86"/>
        <v>#DIV/0!</v>
      </c>
      <c r="S383" s="20"/>
      <c r="T383" s="20">
        <f>[1]Лист4!B382</f>
        <v>0</v>
      </c>
    </row>
    <row r="384" spans="1:20" ht="15.75" x14ac:dyDescent="0.25">
      <c r="A384" s="11">
        <f>[1]Лист4!A383</f>
        <v>0</v>
      </c>
      <c r="B384" s="12">
        <f>[1]Лист4!C383</f>
        <v>0</v>
      </c>
      <c r="C384" s="13">
        <f>[1]Лист4!D383</f>
        <v>0</v>
      </c>
      <c r="D384" s="14" t="e">
        <f>[1]Лист4!F383</f>
        <v>#DIV/0!</v>
      </c>
      <c r="E384" s="15" t="e">
        <f t="shared" si="75"/>
        <v>#DIV/0!</v>
      </c>
      <c r="F384" s="15" t="e">
        <f t="shared" si="76"/>
        <v>#DIV/0!</v>
      </c>
      <c r="G384" s="16" t="e">
        <f t="shared" si="88"/>
        <v>#DIV/0!</v>
      </c>
      <c r="H384" s="16" t="e">
        <f t="shared" si="77"/>
        <v>#DIV/0!</v>
      </c>
      <c r="I384" s="16" t="e">
        <f t="shared" si="78"/>
        <v>#DIV/0!</v>
      </c>
      <c r="J384" s="16" t="e">
        <f t="shared" si="79"/>
        <v>#DIV/0!</v>
      </c>
      <c r="K384" s="16" t="e">
        <f t="shared" si="80"/>
        <v>#DIV/0!</v>
      </c>
      <c r="L384" s="17" t="e">
        <f t="shared" si="87"/>
        <v>#DIV/0!</v>
      </c>
      <c r="M384" s="16" t="e">
        <f t="shared" si="81"/>
        <v>#DIV/0!</v>
      </c>
      <c r="N384" s="17" t="e">
        <f t="shared" si="82"/>
        <v>#DIV/0!</v>
      </c>
      <c r="O384" s="17" t="e">
        <f t="shared" si="83"/>
        <v>#DIV/0!</v>
      </c>
      <c r="P384" s="18" t="e">
        <f t="shared" si="84"/>
        <v>#DIV/0!</v>
      </c>
      <c r="Q384" s="19" t="e">
        <f t="shared" si="85"/>
        <v>#DIV/0!</v>
      </c>
      <c r="R384" s="19" t="e">
        <f t="shared" si="86"/>
        <v>#DIV/0!</v>
      </c>
      <c r="S384" s="20"/>
      <c r="T384" s="20">
        <f>[1]Лист4!B383</f>
        <v>0</v>
      </c>
    </row>
    <row r="385" spans="1:20" ht="15.75" x14ac:dyDescent="0.25">
      <c r="A385" s="11">
        <f>[1]Лист4!A384</f>
        <v>0</v>
      </c>
      <c r="B385" s="12">
        <f>[1]Лист4!C384</f>
        <v>0</v>
      </c>
      <c r="C385" s="13">
        <f>[1]Лист4!D384</f>
        <v>0</v>
      </c>
      <c r="D385" s="14" t="e">
        <f>[1]Лист4!F384</f>
        <v>#DIV/0!</v>
      </c>
      <c r="E385" s="15" t="e">
        <f t="shared" si="75"/>
        <v>#DIV/0!</v>
      </c>
      <c r="F385" s="15" t="e">
        <f t="shared" si="76"/>
        <v>#DIV/0!</v>
      </c>
      <c r="G385" s="16" t="e">
        <f t="shared" si="88"/>
        <v>#DIV/0!</v>
      </c>
      <c r="H385" s="16" t="e">
        <f t="shared" si="77"/>
        <v>#DIV/0!</v>
      </c>
      <c r="I385" s="16" t="e">
        <f t="shared" si="78"/>
        <v>#DIV/0!</v>
      </c>
      <c r="J385" s="16" t="e">
        <f t="shared" si="79"/>
        <v>#DIV/0!</v>
      </c>
      <c r="K385" s="16" t="e">
        <f t="shared" si="80"/>
        <v>#DIV/0!</v>
      </c>
      <c r="L385" s="17" t="e">
        <f t="shared" si="87"/>
        <v>#DIV/0!</v>
      </c>
      <c r="M385" s="16" t="e">
        <f t="shared" si="81"/>
        <v>#DIV/0!</v>
      </c>
      <c r="N385" s="17" t="e">
        <f t="shared" si="82"/>
        <v>#DIV/0!</v>
      </c>
      <c r="O385" s="17" t="e">
        <f t="shared" si="83"/>
        <v>#DIV/0!</v>
      </c>
      <c r="P385" s="18" t="e">
        <f t="shared" si="84"/>
        <v>#DIV/0!</v>
      </c>
      <c r="Q385" s="19" t="e">
        <f t="shared" si="85"/>
        <v>#DIV/0!</v>
      </c>
      <c r="R385" s="19" t="e">
        <f t="shared" si="86"/>
        <v>#DIV/0!</v>
      </c>
      <c r="S385" s="20"/>
      <c r="T385" s="20">
        <f>[1]Лист4!B384</f>
        <v>0</v>
      </c>
    </row>
    <row r="386" spans="1:20" ht="15.75" x14ac:dyDescent="0.25">
      <c r="A386" s="11">
        <f>[1]Лист4!A385</f>
        <v>0</v>
      </c>
      <c r="B386" s="12">
        <f>[1]Лист4!C385</f>
        <v>0</v>
      </c>
      <c r="C386" s="13">
        <f>[1]Лист4!D385</f>
        <v>0</v>
      </c>
      <c r="D386" s="14" t="e">
        <f>[1]Лист4!F385</f>
        <v>#DIV/0!</v>
      </c>
      <c r="E386" s="15" t="e">
        <f t="shared" si="75"/>
        <v>#DIV/0!</v>
      </c>
      <c r="F386" s="15" t="e">
        <f t="shared" si="76"/>
        <v>#DIV/0!</v>
      </c>
      <c r="G386" s="16" t="e">
        <f t="shared" si="88"/>
        <v>#DIV/0!</v>
      </c>
      <c r="H386" s="16" t="e">
        <f t="shared" si="77"/>
        <v>#DIV/0!</v>
      </c>
      <c r="I386" s="16" t="e">
        <f t="shared" si="78"/>
        <v>#DIV/0!</v>
      </c>
      <c r="J386" s="16" t="e">
        <f t="shared" si="79"/>
        <v>#DIV/0!</v>
      </c>
      <c r="K386" s="16" t="e">
        <f t="shared" si="80"/>
        <v>#DIV/0!</v>
      </c>
      <c r="L386" s="17" t="e">
        <f t="shared" si="87"/>
        <v>#DIV/0!</v>
      </c>
      <c r="M386" s="16" t="e">
        <f t="shared" si="81"/>
        <v>#DIV/0!</v>
      </c>
      <c r="N386" s="17" t="e">
        <f t="shared" si="82"/>
        <v>#DIV/0!</v>
      </c>
      <c r="O386" s="17" t="e">
        <f t="shared" si="83"/>
        <v>#DIV/0!</v>
      </c>
      <c r="P386" s="18" t="e">
        <f t="shared" si="84"/>
        <v>#DIV/0!</v>
      </c>
      <c r="Q386" s="19" t="e">
        <f t="shared" si="85"/>
        <v>#DIV/0!</v>
      </c>
      <c r="R386" s="19" t="e">
        <f t="shared" si="86"/>
        <v>#DIV/0!</v>
      </c>
      <c r="S386" s="20"/>
      <c r="T386" s="20">
        <f>[1]Лист4!B385</f>
        <v>0</v>
      </c>
    </row>
    <row r="387" spans="1:20" ht="15.75" x14ac:dyDescent="0.25">
      <c r="A387" s="11">
        <f>[1]Лист4!A386</f>
        <v>0</v>
      </c>
      <c r="B387" s="12">
        <f>[1]Лист4!C386</f>
        <v>0</v>
      </c>
      <c r="C387" s="13">
        <f>[1]Лист4!D386</f>
        <v>0</v>
      </c>
      <c r="D387" s="14" t="e">
        <f>[1]Лист4!F386</f>
        <v>#DIV/0!</v>
      </c>
      <c r="E387" s="15" t="e">
        <f t="shared" ref="E387:E450" si="89">D387*C387</f>
        <v>#DIV/0!</v>
      </c>
      <c r="F387" s="15" t="e">
        <f t="shared" ref="F387:F450" si="90">D387*1.18*0.07</f>
        <v>#DIV/0!</v>
      </c>
      <c r="G387" s="16" t="e">
        <f t="shared" si="88"/>
        <v>#DIV/0!</v>
      </c>
      <c r="H387" s="16" t="e">
        <f t="shared" ref="H387:H450" si="91">ROUNDUP(G387*1.04*$N$1,2)</f>
        <v>#DIV/0!</v>
      </c>
      <c r="I387" s="16" t="e">
        <f t="shared" ref="I387:I450" si="92">ROUNDUP(G387*1.2*$N$1,2)</f>
        <v>#DIV/0!</v>
      </c>
      <c r="J387" s="16" t="e">
        <f t="shared" ref="J387:J450" si="93">ROUNDUP(G387*1.03*$N$1,2)</f>
        <v>#DIV/0!</v>
      </c>
      <c r="K387" s="16" t="e">
        <f t="shared" ref="K387:K450" si="94">N387*0.95</f>
        <v>#DIV/0!</v>
      </c>
      <c r="L387" s="17" t="e">
        <f t="shared" si="87"/>
        <v>#DIV/0!</v>
      </c>
      <c r="M387" s="16" t="e">
        <f t="shared" ref="M387:M450" si="95">ROUNDUP(L387*0.88,2)</f>
        <v>#DIV/0!</v>
      </c>
      <c r="N387" s="17" t="e">
        <f t="shared" ref="N387:N450" si="96">ROUNDUP(L387*$N$1,2)</f>
        <v>#DIV/0!</v>
      </c>
      <c r="O387" s="17" t="e">
        <f t="shared" ref="O387:O450" si="97">ROUNDUP(N387*0.88,2)</f>
        <v>#DIV/0!</v>
      </c>
      <c r="P387" s="18" t="e">
        <f t="shared" ref="P387:P393" si="98">G387*C387</f>
        <v>#DIV/0!</v>
      </c>
      <c r="Q387" s="19" t="e">
        <f t="shared" ref="Q387:Q393" si="99">L387*C387</f>
        <v>#DIV/0!</v>
      </c>
      <c r="R387" s="19" t="e">
        <f t="shared" ref="R387:R450" si="100">Q387-P387</f>
        <v>#DIV/0!</v>
      </c>
      <c r="S387" s="20"/>
      <c r="T387" s="20">
        <f>[1]Лист4!B386</f>
        <v>0</v>
      </c>
    </row>
    <row r="388" spans="1:20" ht="15.75" x14ac:dyDescent="0.25">
      <c r="A388" s="11">
        <f>[1]Лист4!A387</f>
        <v>0</v>
      </c>
      <c r="B388" s="12">
        <f>[1]Лист4!C387</f>
        <v>0</v>
      </c>
      <c r="C388" s="13">
        <f>[1]Лист4!D387</f>
        <v>0</v>
      </c>
      <c r="D388" s="14" t="e">
        <f>[1]Лист4!F387</f>
        <v>#DIV/0!</v>
      </c>
      <c r="E388" s="15" t="e">
        <f t="shared" si="89"/>
        <v>#DIV/0!</v>
      </c>
      <c r="F388" s="15" t="e">
        <f t="shared" si="90"/>
        <v>#DIV/0!</v>
      </c>
      <c r="G388" s="16" t="e">
        <f t="shared" si="88"/>
        <v>#DIV/0!</v>
      </c>
      <c r="H388" s="16" t="e">
        <f t="shared" si="91"/>
        <v>#DIV/0!</v>
      </c>
      <c r="I388" s="16" t="e">
        <f t="shared" si="92"/>
        <v>#DIV/0!</v>
      </c>
      <c r="J388" s="16" t="e">
        <f t="shared" si="93"/>
        <v>#DIV/0!</v>
      </c>
      <c r="K388" s="16" t="e">
        <f t="shared" si="94"/>
        <v>#DIV/0!</v>
      </c>
      <c r="L388" s="17" t="e">
        <f t="shared" si="87"/>
        <v>#DIV/0!</v>
      </c>
      <c r="M388" s="16" t="e">
        <f>ROUNDUP(L388*0.88,2)</f>
        <v>#DIV/0!</v>
      </c>
      <c r="N388" s="17" t="e">
        <f t="shared" si="96"/>
        <v>#DIV/0!</v>
      </c>
      <c r="O388" s="17" t="e">
        <f t="shared" si="97"/>
        <v>#DIV/0!</v>
      </c>
      <c r="P388" s="18" t="e">
        <f t="shared" si="98"/>
        <v>#DIV/0!</v>
      </c>
      <c r="Q388" s="19" t="e">
        <f t="shared" si="99"/>
        <v>#DIV/0!</v>
      </c>
      <c r="R388" s="19" t="e">
        <f t="shared" si="100"/>
        <v>#DIV/0!</v>
      </c>
      <c r="S388" s="20"/>
      <c r="T388" s="20">
        <f>[1]Лист4!B387</f>
        <v>0</v>
      </c>
    </row>
    <row r="389" spans="1:20" ht="15.75" x14ac:dyDescent="0.25">
      <c r="A389" s="11">
        <f>[1]Лист4!A388</f>
        <v>0</v>
      </c>
      <c r="B389" s="12">
        <f>[1]Лист4!C388</f>
        <v>0</v>
      </c>
      <c r="C389" s="13">
        <f>[1]Лист4!D388</f>
        <v>0</v>
      </c>
      <c r="D389" s="14" t="e">
        <f>[1]Лист4!F388</f>
        <v>#DIV/0!</v>
      </c>
      <c r="E389" s="15" t="e">
        <f t="shared" si="89"/>
        <v>#DIV/0!</v>
      </c>
      <c r="F389" s="15" t="e">
        <f t="shared" si="90"/>
        <v>#DIV/0!</v>
      </c>
      <c r="G389" s="16" t="e">
        <f t="shared" si="88"/>
        <v>#DIV/0!</v>
      </c>
      <c r="H389" s="16" t="e">
        <f t="shared" si="91"/>
        <v>#DIV/0!</v>
      </c>
      <c r="I389" s="16" t="e">
        <f t="shared" si="92"/>
        <v>#DIV/0!</v>
      </c>
      <c r="J389" s="16" t="e">
        <f t="shared" si="93"/>
        <v>#DIV/0!</v>
      </c>
      <c r="K389" s="16" t="e">
        <f t="shared" si="94"/>
        <v>#DIV/0!</v>
      </c>
      <c r="L389" s="17" t="e">
        <f t="shared" si="87"/>
        <v>#DIV/0!</v>
      </c>
      <c r="M389" s="16" t="e">
        <f>ROUNDUP(L389*0.88,2)</f>
        <v>#DIV/0!</v>
      </c>
      <c r="N389" s="17" t="e">
        <f t="shared" si="96"/>
        <v>#DIV/0!</v>
      </c>
      <c r="O389" s="17" t="e">
        <f t="shared" si="97"/>
        <v>#DIV/0!</v>
      </c>
      <c r="P389" s="18" t="e">
        <f t="shared" si="98"/>
        <v>#DIV/0!</v>
      </c>
      <c r="Q389" s="19" t="e">
        <f t="shared" si="99"/>
        <v>#DIV/0!</v>
      </c>
      <c r="R389" s="19" t="e">
        <f t="shared" si="100"/>
        <v>#DIV/0!</v>
      </c>
      <c r="S389" s="20"/>
      <c r="T389" s="20">
        <f>[1]Лист4!B388</f>
        <v>0</v>
      </c>
    </row>
    <row r="390" spans="1:20" ht="15.75" x14ac:dyDescent="0.25">
      <c r="A390" s="11">
        <f>[1]Лист4!A389</f>
        <v>0</v>
      </c>
      <c r="B390" s="12">
        <f>[1]Лист4!C389</f>
        <v>0</v>
      </c>
      <c r="C390" s="13">
        <f>[1]Лист4!D389</f>
        <v>0</v>
      </c>
      <c r="D390" s="14" t="e">
        <f>[1]Лист4!F389</f>
        <v>#DIV/0!</v>
      </c>
      <c r="E390" s="15" t="e">
        <f t="shared" si="89"/>
        <v>#DIV/0!</v>
      </c>
      <c r="F390" s="15" t="e">
        <f t="shared" si="90"/>
        <v>#DIV/0!</v>
      </c>
      <c r="G390" s="16" t="e">
        <f t="shared" si="88"/>
        <v>#DIV/0!</v>
      </c>
      <c r="H390" s="16" t="e">
        <f t="shared" si="91"/>
        <v>#DIV/0!</v>
      </c>
      <c r="I390" s="16" t="e">
        <f t="shared" si="92"/>
        <v>#DIV/0!</v>
      </c>
      <c r="J390" s="16" t="e">
        <f t="shared" si="93"/>
        <v>#DIV/0!</v>
      </c>
      <c r="K390" s="16" t="e">
        <f t="shared" si="94"/>
        <v>#DIV/0!</v>
      </c>
      <c r="L390" s="17" t="e">
        <f>G390*1.55</f>
        <v>#DIV/0!</v>
      </c>
      <c r="M390" s="16" t="e">
        <f>ROUNDUP(L390*0.88,2)</f>
        <v>#DIV/0!</v>
      </c>
      <c r="N390" s="17" t="e">
        <f t="shared" si="96"/>
        <v>#DIV/0!</v>
      </c>
      <c r="O390" s="17" t="e">
        <f t="shared" si="97"/>
        <v>#DIV/0!</v>
      </c>
      <c r="P390" s="18" t="e">
        <f t="shared" si="98"/>
        <v>#DIV/0!</v>
      </c>
      <c r="Q390" s="19" t="e">
        <f t="shared" si="99"/>
        <v>#DIV/0!</v>
      </c>
      <c r="R390" s="19" t="e">
        <f t="shared" si="100"/>
        <v>#DIV/0!</v>
      </c>
      <c r="S390" s="20"/>
      <c r="T390" s="20">
        <f>[1]Лист4!B389</f>
        <v>0</v>
      </c>
    </row>
    <row r="391" spans="1:20" ht="15.75" x14ac:dyDescent="0.25">
      <c r="A391" s="11">
        <f>[1]Лист4!A390</f>
        <v>0</v>
      </c>
      <c r="B391" s="12">
        <f>[1]Лист4!C390</f>
        <v>0</v>
      </c>
      <c r="C391" s="13">
        <f>[1]Лист4!D390</f>
        <v>0</v>
      </c>
      <c r="D391" s="14" t="e">
        <f>[1]Лист4!F390</f>
        <v>#DIV/0!</v>
      </c>
      <c r="E391" s="15" t="e">
        <f t="shared" si="89"/>
        <v>#DIV/0!</v>
      </c>
      <c r="F391" s="15" t="e">
        <f t="shared" si="90"/>
        <v>#DIV/0!</v>
      </c>
      <c r="G391" s="16" t="e">
        <f t="shared" si="88"/>
        <v>#DIV/0!</v>
      </c>
      <c r="H391" s="16" t="e">
        <f t="shared" si="91"/>
        <v>#DIV/0!</v>
      </c>
      <c r="I391" s="16" t="e">
        <f t="shared" si="92"/>
        <v>#DIV/0!</v>
      </c>
      <c r="J391" s="16" t="e">
        <f t="shared" si="93"/>
        <v>#DIV/0!</v>
      </c>
      <c r="K391" s="16" t="e">
        <f t="shared" si="94"/>
        <v>#DIV/0!</v>
      </c>
      <c r="L391" s="17" t="e">
        <f>G391*1.55</f>
        <v>#DIV/0!</v>
      </c>
      <c r="M391" s="16" t="e">
        <f>ROUNDUP(L391*0.88,2)</f>
        <v>#DIV/0!</v>
      </c>
      <c r="N391" s="17" t="e">
        <f t="shared" si="96"/>
        <v>#DIV/0!</v>
      </c>
      <c r="O391" s="17" t="e">
        <f t="shared" si="97"/>
        <v>#DIV/0!</v>
      </c>
      <c r="P391" s="18" t="e">
        <f t="shared" si="98"/>
        <v>#DIV/0!</v>
      </c>
      <c r="Q391" s="19" t="e">
        <f t="shared" si="99"/>
        <v>#DIV/0!</v>
      </c>
      <c r="R391" s="19" t="e">
        <f t="shared" si="100"/>
        <v>#DIV/0!</v>
      </c>
      <c r="S391" s="20"/>
      <c r="T391" s="20">
        <f>[1]Лист4!B390</f>
        <v>0</v>
      </c>
    </row>
    <row r="392" spans="1:20" ht="15.75" x14ac:dyDescent="0.25">
      <c r="A392" s="11">
        <f>[1]Лист4!A391</f>
        <v>0</v>
      </c>
      <c r="B392" s="12">
        <f>[1]Лист4!C391</f>
        <v>0</v>
      </c>
      <c r="C392" s="13">
        <f>[1]Лист4!D391</f>
        <v>0</v>
      </c>
      <c r="D392" s="14" t="e">
        <f>[1]Лист4!F391</f>
        <v>#DIV/0!</v>
      </c>
      <c r="E392" s="15" t="e">
        <f t="shared" si="89"/>
        <v>#DIV/0!</v>
      </c>
      <c r="F392" s="15" t="e">
        <f t="shared" si="90"/>
        <v>#DIV/0!</v>
      </c>
      <c r="G392" s="16" t="e">
        <f t="shared" si="88"/>
        <v>#DIV/0!</v>
      </c>
      <c r="H392" s="16" t="e">
        <f t="shared" si="91"/>
        <v>#DIV/0!</v>
      </c>
      <c r="I392" s="16" t="e">
        <f t="shared" si="92"/>
        <v>#DIV/0!</v>
      </c>
      <c r="J392" s="16" t="e">
        <f t="shared" si="93"/>
        <v>#DIV/0!</v>
      </c>
      <c r="K392" s="16" t="e">
        <f t="shared" si="94"/>
        <v>#DIV/0!</v>
      </c>
      <c r="L392" s="17" t="e">
        <f>G392*1.55</f>
        <v>#DIV/0!</v>
      </c>
      <c r="M392" s="16" t="e">
        <f>ROUNDUP(L392*0.88,2)</f>
        <v>#DIV/0!</v>
      </c>
      <c r="N392" s="17" t="e">
        <f t="shared" si="96"/>
        <v>#DIV/0!</v>
      </c>
      <c r="O392" s="17" t="e">
        <f t="shared" si="97"/>
        <v>#DIV/0!</v>
      </c>
      <c r="P392" s="18" t="e">
        <f t="shared" si="98"/>
        <v>#DIV/0!</v>
      </c>
      <c r="Q392" s="19" t="e">
        <f t="shared" si="99"/>
        <v>#DIV/0!</v>
      </c>
      <c r="R392" s="19" t="e">
        <f t="shared" si="100"/>
        <v>#DIV/0!</v>
      </c>
      <c r="S392" s="20"/>
      <c r="T392" s="20">
        <f>[1]Лист4!B391</f>
        <v>0</v>
      </c>
    </row>
    <row r="393" spans="1:20" ht="15.75" x14ac:dyDescent="0.25">
      <c r="A393" s="11">
        <f>[1]Лист4!A392</f>
        <v>0</v>
      </c>
      <c r="B393" s="12">
        <f>[1]Лист4!C392</f>
        <v>0</v>
      </c>
      <c r="C393" s="13">
        <f>[1]Лист4!D392</f>
        <v>0</v>
      </c>
      <c r="D393" s="14" t="e">
        <f>[1]Лист4!F392</f>
        <v>#DIV/0!</v>
      </c>
      <c r="E393" s="15" t="e">
        <f t="shared" si="89"/>
        <v>#DIV/0!</v>
      </c>
      <c r="F393" s="15" t="e">
        <f t="shared" si="90"/>
        <v>#DIV/0!</v>
      </c>
      <c r="G393" s="16" t="e">
        <f t="shared" si="88"/>
        <v>#DIV/0!</v>
      </c>
      <c r="H393" s="16" t="e">
        <f t="shared" si="91"/>
        <v>#DIV/0!</v>
      </c>
      <c r="I393" s="16" t="e">
        <f t="shared" si="92"/>
        <v>#DIV/0!</v>
      </c>
      <c r="J393" s="16" t="e">
        <f t="shared" si="93"/>
        <v>#DIV/0!</v>
      </c>
      <c r="K393" s="16" t="e">
        <f t="shared" si="94"/>
        <v>#DIV/0!</v>
      </c>
      <c r="L393" s="17" t="e">
        <f>G393*1.55</f>
        <v>#DIV/0!</v>
      </c>
      <c r="M393" s="16"/>
      <c r="N393" s="17" t="e">
        <f t="shared" si="96"/>
        <v>#DIV/0!</v>
      </c>
      <c r="O393" s="17" t="e">
        <f t="shared" si="97"/>
        <v>#DIV/0!</v>
      </c>
      <c r="P393" s="18" t="e">
        <f t="shared" si="98"/>
        <v>#DIV/0!</v>
      </c>
      <c r="Q393" s="19" t="e">
        <f t="shared" si="99"/>
        <v>#DIV/0!</v>
      </c>
      <c r="R393" s="19" t="e">
        <f t="shared" si="100"/>
        <v>#DIV/0!</v>
      </c>
      <c r="S393" s="20"/>
      <c r="T393" s="20">
        <f>[1]Лист4!B392</f>
        <v>0</v>
      </c>
    </row>
    <row r="394" spans="1:20" x14ac:dyDescent="0.2">
      <c r="S394" s="20"/>
      <c r="T394" s="20"/>
    </row>
    <row r="395" spans="1:20" x14ac:dyDescent="0.2">
      <c r="S395" s="20"/>
      <c r="T395" s="20"/>
    </row>
    <row r="396" spans="1:20" x14ac:dyDescent="0.2">
      <c r="S396" s="20"/>
      <c r="T396" s="20"/>
    </row>
    <row r="397" spans="1:20" x14ac:dyDescent="0.2">
      <c r="S397" s="20"/>
      <c r="T397" s="20"/>
    </row>
    <row r="398" spans="1:20" x14ac:dyDescent="0.2">
      <c r="S398" s="20"/>
      <c r="T398" s="20"/>
    </row>
  </sheetData>
  <hyperlinks>
    <hyperlink ref="T189" r:id="rId1" display="url"/>
    <hyperlink ref="T190" r:id="rId2" display="url"/>
    <hyperlink ref="T192" r:id="rId3" display="url"/>
    <hyperlink ref="T197" r:id="rId4" display="url"/>
    <hyperlink ref="T199" r:id="rId5" display="url"/>
    <hyperlink ref="T200" r:id="rId6" display="url"/>
    <hyperlink ref="T235" r:id="rId7" display="url"/>
    <hyperlink ref="T233" r:id="rId8" display="url"/>
    <hyperlink ref="T234" r:id="rId9" display="url"/>
    <hyperlink ref="T271" r:id="rId10" display="url"/>
    <hyperlink ref="T269" r:id="rId11" display="url"/>
    <hyperlink ref="T270" r:id="rId12" display="url"/>
    <hyperlink ref="T152" r:id="rId13" display="url"/>
    <hyperlink ref="T146" r:id="rId14" display="url"/>
    <hyperlink ref="T148" r:id="rId15" display="url"/>
    <hyperlink ref="T149" r:id="rId16" display="url"/>
    <hyperlink ref="T150" r:id="rId17" display="url"/>
    <hyperlink ref="T151" r:id="rId18" display="url"/>
    <hyperlink ref="T174" r:id="rId19" display="url"/>
    <hyperlink ref="T175" r:id="rId20" display="url"/>
    <hyperlink ref="T181" r:id="rId21" display="url"/>
    <hyperlink ref="T153" r:id="rId22" display="url"/>
    <hyperlink ref="T154" r:id="rId23" display="url"/>
    <hyperlink ref="T156" r:id="rId24" display="url"/>
    <hyperlink ref="T155" r:id="rId25" display="url"/>
    <hyperlink ref="T180" r:id="rId26" display="url"/>
    <hyperlink ref="T162" r:id="rId27" display="url"/>
    <hyperlink ref="T157" r:id="rId28" display="url"/>
    <hyperlink ref="T177" r:id="rId29" display="url"/>
    <hyperlink ref="T178" r:id="rId30" display="url"/>
    <hyperlink ref="T158" r:id="rId31" display="url"/>
    <hyperlink ref="T159" r:id="rId32" display="url"/>
    <hyperlink ref="T160" r:id="rId33" display="url"/>
    <hyperlink ref="T165" r:id="rId34" display="url"/>
    <hyperlink ref="T163" r:id="rId35" display="url"/>
    <hyperlink ref="T164" r:id="rId36" display="url"/>
    <hyperlink ref="T166" r:id="rId37" display="url"/>
    <hyperlink ref="T167" r:id="rId38" display="url"/>
    <hyperlink ref="T168" r:id="rId39" display="url"/>
    <hyperlink ref="T169" r:id="rId40" display="url"/>
    <hyperlink ref="T171" r:id="rId41" display="url"/>
    <hyperlink ref="T176" r:id="rId42" display="url"/>
    <hyperlink ref="T182" r:id="rId43" display="url"/>
    <hyperlink ref="T184" r:id="rId44" display="url"/>
    <hyperlink ref="T183" r:id="rId45" display="url"/>
    <hyperlink ref="T223" r:id="rId46" display="url"/>
    <hyperlink ref="T224" r:id="rId47" display="url"/>
    <hyperlink ref="T222" r:id="rId48" display="url"/>
    <hyperlink ref="T225" r:id="rId49" display="url"/>
    <hyperlink ref="T273" r:id="rId50" display="url"/>
    <hyperlink ref="T209" r:id="rId51" display="url"/>
    <hyperlink ref="T212" r:id="rId52" display="url"/>
    <hyperlink ref="T211" r:id="rId53" display="url"/>
    <hyperlink ref="T210" r:id="rId54" display="url"/>
    <hyperlink ref="T207" r:id="rId55" display="url"/>
    <hyperlink ref="T217" r:id="rId56" display="url"/>
    <hyperlink ref="T214" r:id="rId57" display="url"/>
    <hyperlink ref="T227" r:id="rId58" display="url"/>
    <hyperlink ref="T226" r:id="rId59" display="url"/>
    <hyperlink ref="T236" r:id="rId60" display="url"/>
    <hyperlink ref="T239" r:id="rId61" display="url"/>
    <hyperlink ref="T242" r:id="rId62" display="url"/>
    <hyperlink ref="T247" r:id="rId63" display="url"/>
    <hyperlink ref="T250" r:id="rId64" display="url"/>
    <hyperlink ref="T254" r:id="rId65" display="url"/>
    <hyperlink ref="T249" r:id="rId66" display="url"/>
    <hyperlink ref="T252" r:id="rId67" display="url"/>
    <hyperlink ref="T266" r:id="rId68" display="url"/>
    <hyperlink ref="T255" r:id="rId69" display="url"/>
    <hyperlink ref="T256" r:id="rId70" display="url"/>
    <hyperlink ref="T257" r:id="rId71" display="url"/>
    <hyperlink ref="T142" r:id="rId72" display="url"/>
    <hyperlink ref="T143" r:id="rId73" display="url"/>
    <hyperlink ref="T144" r:id="rId74" display="url"/>
    <hyperlink ref="T135" r:id="rId75" display="url"/>
    <hyperlink ref="T134" r:id="rId76" display="url"/>
    <hyperlink ref="T137" r:id="rId77" display="url"/>
    <hyperlink ref="T138" r:id="rId78" display="url"/>
    <hyperlink ref="T136" r:id="rId79" display="url"/>
    <hyperlink ref="T139" r:id="rId80" display="url"/>
    <hyperlink ref="T140" r:id="rId81" display="url"/>
    <hyperlink ref="T141" r:id="rId82" display="url"/>
    <hyperlink ref="T133" r:id="rId83" display="url"/>
    <hyperlink ref="T258" r:id="rId84" display="url"/>
    <hyperlink ref="T261" r:id="rId85" display="url"/>
    <hyperlink ref="T259" r:id="rId86" display="url"/>
    <hyperlink ref="T260" r:id="rId87" display="url"/>
    <hyperlink ref="T262" r:id="rId88" display="url"/>
    <hyperlink ref="T263" r:id="rId89" display="url"/>
    <hyperlink ref="T265" r:id="rId90" display="url"/>
    <hyperlink ref="T16" r:id="rId91" display="url"/>
    <hyperlink ref="T17" r:id="rId92" display="url"/>
    <hyperlink ref="T5" r:id="rId93" display="url"/>
    <hyperlink ref="T6" r:id="rId94" display="url"/>
    <hyperlink ref="T15" r:id="rId95" display="url"/>
    <hyperlink ref="T11" r:id="rId96" display="url"/>
    <hyperlink ref="T8" r:id="rId97" display="url"/>
    <hyperlink ref="T7" r:id="rId98" display="url"/>
    <hyperlink ref="T9" r:id="rId99" display="url"/>
    <hyperlink ref="T10" r:id="rId100" display="url"/>
    <hyperlink ref="T12" r:id="rId101" display="url"/>
    <hyperlink ref="T14" r:id="rId102" display="url"/>
    <hyperlink ref="T13" r:id="rId103" display="url"/>
    <hyperlink ref="T18" r:id="rId104" display="url"/>
    <hyperlink ref="T42" r:id="rId105" display="url"/>
    <hyperlink ref="T39" r:id="rId106" display="url"/>
    <hyperlink ref="T40" r:id="rId107" display="url"/>
    <hyperlink ref="T41" r:id="rId108" display="url"/>
    <hyperlink ref="T19" r:id="rId109" display="url"/>
    <hyperlink ref="T43" r:id="rId110" display="url"/>
    <hyperlink ref="T21" r:id="rId111" display="url"/>
    <hyperlink ref="T37" r:id="rId112" display="url"/>
    <hyperlink ref="T36" r:id="rId113" display="url"/>
    <hyperlink ref="T38" r:id="rId114" display="url"/>
    <hyperlink ref="T23" r:id="rId115" display="url"/>
    <hyperlink ref="T22" r:id="rId116" display="url"/>
    <hyperlink ref="T24" r:id="rId117" display="url"/>
    <hyperlink ref="T25" r:id="rId118" display="url"/>
    <hyperlink ref="T26" r:id="rId119" display="url"/>
    <hyperlink ref="T30" r:id="rId120" display="url"/>
    <hyperlink ref="T29" r:id="rId121" display="url"/>
    <hyperlink ref="T28" r:id="rId122" display="url"/>
    <hyperlink ref="T32" r:id="rId123" display="url"/>
    <hyperlink ref="T35" r:id="rId124" display="url"/>
    <hyperlink ref="T31" r:id="rId125" display="url"/>
    <hyperlink ref="T33" r:id="rId126" display="url"/>
    <hyperlink ref="T20" r:id="rId127" display="url"/>
    <hyperlink ref="T27" r:id="rId128" display="url"/>
    <hyperlink ref="T3" r:id="rId129" display="url"/>
    <hyperlink ref="T4" r:id="rId130" display="url"/>
    <hyperlink ref="T191" r:id="rId131" display="url"/>
    <hyperlink ref="T196" r:id="rId132" display="url"/>
    <hyperlink ref="T195" r:id="rId133" display="url"/>
    <hyperlink ref="T193" r:id="rId134" display="url"/>
    <hyperlink ref="T194" r:id="rId135" display="url"/>
    <hyperlink ref="T238" r:id="rId136" display="url"/>
    <hyperlink ref="T279" r:id="rId137" display="url"/>
    <hyperlink ref="T277" r:id="rId138" display="url"/>
    <hyperlink ref="T278" r:id="rId139" display="url"/>
    <hyperlink ref="T275" r:id="rId140" display="url"/>
    <hyperlink ref="T274" r:id="rId141" display="url"/>
    <hyperlink ref="T276" r:id="rId142" display="url"/>
    <hyperlink ref="T290" r:id="rId143" display="url"/>
    <hyperlink ref="T289" r:id="rId144" display="url"/>
    <hyperlink ref="T283" r:id="rId145" display="url"/>
    <hyperlink ref="T286" r:id="rId146" display="url"/>
    <hyperlink ref="T281" r:id="rId147" display="url"/>
    <hyperlink ref="T285" r:id="rId148" display="url"/>
    <hyperlink ref="T284" r:id="rId149" display="url"/>
    <hyperlink ref="T282" r:id="rId150" display="url"/>
    <hyperlink ref="T280" r:id="rId151" display="url"/>
    <hyperlink ref="T287" r:id="rId152" display="url"/>
    <hyperlink ref="T268" r:id="rId153" display="url"/>
    <hyperlink ref="T267" r:id="rId154" display="url"/>
    <hyperlink ref="T213" r:id="rId155" display="url"/>
    <hyperlink ref="T202" r:id="rId156" display="url"/>
    <hyperlink ref="T203" r:id="rId157" display="url"/>
    <hyperlink ref="T205" r:id="rId158" display="url"/>
    <hyperlink ref="T206" r:id="rId159" display="url"/>
    <hyperlink ref="T208" r:id="rId160" display="url"/>
    <hyperlink ref="T204" r:id="rId161" display="url"/>
    <hyperlink ref="T272" r:id="rId162" display="url"/>
    <hyperlink ref="T216" r:id="rId163" display="url"/>
    <hyperlink ref="T215" r:id="rId164" display="url"/>
    <hyperlink ref="T219" r:id="rId165" display="url"/>
    <hyperlink ref="T221" r:id="rId166" display="url"/>
    <hyperlink ref="T220" r:id="rId167" display="url"/>
    <hyperlink ref="T218" r:id="rId168" display="url"/>
    <hyperlink ref="T244" r:id="rId169" display="url"/>
    <hyperlink ref="T245" r:id="rId170" display="url"/>
    <hyperlink ref="T246" r:id="rId171" display="url"/>
    <hyperlink ref="T243" r:id="rId172" display="url"/>
    <hyperlink ref="T201" r:id="rId173" display="url"/>
    <hyperlink ref="T228" r:id="rId174" display="url"/>
    <hyperlink ref="T231" r:id="rId175" display="url"/>
    <hyperlink ref="T232" r:id="rId176" display="url"/>
    <hyperlink ref="T229" r:id="rId177" display="url"/>
    <hyperlink ref="T230" r:id="rId178" display="url"/>
    <hyperlink ref="T198" r:id="rId179" display="url"/>
    <hyperlink ref="T172" r:id="rId180" display="url"/>
    <hyperlink ref="T173" r:id="rId181" display="url"/>
    <hyperlink ref="T237" r:id="rId182" display="url"/>
    <hyperlink ref="T241" r:id="rId183" display="url"/>
    <hyperlink ref="T187" r:id="rId184" display="url"/>
    <hyperlink ref="T179" r:id="rId185" display="url"/>
    <hyperlink ref="T264" r:id="rId186" display="url"/>
    <hyperlink ref="T112" r:id="rId187" display="url"/>
    <hyperlink ref="T131" r:id="rId188" display="url"/>
    <hyperlink ref="T132" r:id="rId189" display="url"/>
    <hyperlink ref="T130" r:id="rId190" display="url"/>
    <hyperlink ref="T84" r:id="rId191" display="url"/>
    <hyperlink ref="T81" r:id="rId192" display="url"/>
    <hyperlink ref="T82" r:id="rId193" display="url"/>
    <hyperlink ref="T64" r:id="rId194" display="url"/>
    <hyperlink ref="T75" r:id="rId195" display="url"/>
    <hyperlink ref="T76" r:id="rId196" display="url"/>
    <hyperlink ref="T74" r:id="rId197" display="url"/>
    <hyperlink ref="T123" r:id="rId198" display="url"/>
    <hyperlink ref="T111" r:id="rId199" display="url"/>
    <hyperlink ref="T121" r:id="rId200" display="url"/>
    <hyperlink ref="T126" r:id="rId201" display="url"/>
    <hyperlink ref="T65" r:id="rId202" display="url"/>
    <hyperlink ref="T58" r:id="rId203" display="url"/>
    <hyperlink ref="T62" r:id="rId204" display="url"/>
    <hyperlink ref="T127" r:id="rId205" display="url"/>
    <hyperlink ref="T77" r:id="rId206" display="url"/>
    <hyperlink ref="T55" r:id="rId207" display="url"/>
    <hyperlink ref="T129" r:id="rId208" display="url"/>
    <hyperlink ref="T57" r:id="rId209" display="url"/>
    <hyperlink ref="T56" r:id="rId210" display="url"/>
    <hyperlink ref="T128" r:id="rId211" display="url"/>
    <hyperlink ref="T54" r:id="rId212" display="url"/>
    <hyperlink ref="T110" r:id="rId213" display="url"/>
    <hyperlink ref="T59" r:id="rId214" display="url"/>
    <hyperlink ref="T78" r:id="rId215" display="url"/>
    <hyperlink ref="T60" r:id="rId216" display="url"/>
    <hyperlink ref="T85" r:id="rId217" display="url"/>
    <hyperlink ref="T61" r:id="rId218" display="url"/>
    <hyperlink ref="T86" r:id="rId219" display="url"/>
    <hyperlink ref="T66" r:id="rId220" display="url"/>
    <hyperlink ref="T87" r:id="rId221" display="url"/>
    <hyperlink ref="T50" r:id="rId222" display="url"/>
    <hyperlink ref="T51" r:id="rId223" display="url"/>
    <hyperlink ref="T88" r:id="rId224" display="url"/>
    <hyperlink ref="T89" r:id="rId225" display="url"/>
    <hyperlink ref="T67" r:id="rId226" display="url"/>
    <hyperlink ref="T68" r:id="rId227" display="url"/>
    <hyperlink ref="T69" r:id="rId228" display="url"/>
    <hyperlink ref="T79" r:id="rId229" display="url"/>
    <hyperlink ref="T92" r:id="rId230" display="url"/>
    <hyperlink ref="T90" r:id="rId231" display="url"/>
    <hyperlink ref="T91" r:id="rId232" display="url"/>
    <hyperlink ref="T96" r:id="rId233" display="url"/>
    <hyperlink ref="T93" r:id="rId234" display="url"/>
    <hyperlink ref="T70" r:id="rId235" display="url"/>
    <hyperlink ref="T97" r:id="rId236" display="url"/>
    <hyperlink ref="T94" r:id="rId237" display="url"/>
    <hyperlink ref="T95" r:id="rId238" display="url"/>
    <hyperlink ref="T71" r:id="rId239" display="url"/>
    <hyperlink ref="T109" r:id="rId240" display="url"/>
    <hyperlink ref="T103" r:id="rId241" display="url"/>
    <hyperlink ref="T102" r:id="rId242" display="url"/>
    <hyperlink ref="T45" r:id="rId243" display="url"/>
    <hyperlink ref="T46" r:id="rId244" display="url"/>
    <hyperlink ref="T47" r:id="rId245" display="url"/>
    <hyperlink ref="T48" r:id="rId246" display="url"/>
    <hyperlink ref="T49" r:id="rId247" display="url"/>
    <hyperlink ref="T99" r:id="rId248" display="url"/>
    <hyperlink ref="T100" r:id="rId249" display="url"/>
    <hyperlink ref="T104" r:id="rId250" display="url"/>
    <hyperlink ref="T72" r:id="rId251" display="url"/>
    <hyperlink ref="T52" r:id="rId252" display="url"/>
    <hyperlink ref="T53" r:id="rId253" display="url"/>
    <hyperlink ref="T73" r:id="rId254" display="url"/>
    <hyperlink ref="T80" r:id="rId255" display="url"/>
    <hyperlink ref="T105" r:id="rId256" display="url"/>
    <hyperlink ref="T106" r:id="rId257" display="url"/>
    <hyperlink ref="T107" r:id="rId258" display="url"/>
    <hyperlink ref="T108" r:id="rId259" display="url"/>
    <hyperlink ref="T83" r:id="rId260" display="url"/>
    <hyperlink ref="T44" r:id="rId261" display="url"/>
    <hyperlink ref="T63" r:id="rId262" display="url"/>
    <hyperlink ref="T145" r:id="rId263" display="url"/>
    <hyperlink ref="T115" r:id="rId264" display="url"/>
    <hyperlink ref="T113" r:id="rId265" display="url"/>
    <hyperlink ref="T114" r:id="rId266" display="url"/>
    <hyperlink ref="T116" r:id="rId267" display="url"/>
    <hyperlink ref="T117" r:id="rId268" display="url"/>
    <hyperlink ref="T125" r:id="rId269" display="url"/>
    <hyperlink ref="T118" r:id="rId270" display="url"/>
    <hyperlink ref="T124" r:id="rId271" display="url"/>
    <hyperlink ref="T119" r:id="rId272" display="url"/>
    <hyperlink ref="T120" r:id="rId273" display="url"/>
    <hyperlink ref="T122" r:id="rId274" display="url"/>
  </hyperlinks>
  <pageMargins left="0.7" right="0.7" top="0.75" bottom="0.75" header="0.3" footer="0.3"/>
  <pageSetup paperSize="9" orientation="portrait" horizontalDpi="300" verticalDpi="300" r:id="rId2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лол Егор</dc:creator>
  <cp:lastModifiedBy>лол Егор</cp:lastModifiedBy>
  <dcterms:created xsi:type="dcterms:W3CDTF">2026-05-23T18:55:51Z</dcterms:created>
  <dcterms:modified xsi:type="dcterms:W3CDTF">2026-05-23T18:56:45Z</dcterms:modified>
</cp:coreProperties>
</file>